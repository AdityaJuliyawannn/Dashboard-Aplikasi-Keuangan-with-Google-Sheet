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Budgeting" sheetId="2" r:id="rId6"/>
    <sheet state="visible" name="Rangkuman" sheetId="3" r:id="rId7"/>
  </sheets>
  <definedNames/>
  <calcPr/>
</workbook>
</file>

<file path=xl/sharedStrings.xml><?xml version="1.0" encoding="utf-8"?>
<sst xmlns="http://schemas.openxmlformats.org/spreadsheetml/2006/main" count="154" uniqueCount="46">
  <si>
    <t>Dashboard Keuangan Bulanan</t>
  </si>
  <si>
    <t>Bulan</t>
  </si>
  <si>
    <t>Total</t>
  </si>
  <si>
    <t>Nominal</t>
  </si>
  <si>
    <t>Pemasukan</t>
  </si>
  <si>
    <t>Total Pemasukan Per Kategori</t>
  </si>
  <si>
    <t>Persentase</t>
  </si>
  <si>
    <t>Pengeluaran</t>
  </si>
  <si>
    <t>Gaji</t>
  </si>
  <si>
    <t>Sisa Uang</t>
  </si>
  <si>
    <t>Tunjangan</t>
  </si>
  <si>
    <t>Total Pengeluaran Per Kategori</t>
  </si>
  <si>
    <t>Bonus</t>
  </si>
  <si>
    <t>Tabungan</t>
  </si>
  <si>
    <t>Hadiah</t>
  </si>
  <si>
    <t>ALOKASI PENGELUARAN</t>
  </si>
  <si>
    <t>Kebutuhan</t>
  </si>
  <si>
    <t>Penjualan</t>
  </si>
  <si>
    <t>Keinginan</t>
  </si>
  <si>
    <t>Sewa</t>
  </si>
  <si>
    <t>ALOKASI PEMASUKAN</t>
  </si>
  <si>
    <t>Forecast Pengeluaran Satu Hari Kedepan</t>
  </si>
  <si>
    <t>MA3</t>
  </si>
  <si>
    <t>MA5</t>
  </si>
  <si>
    <t>Forecast Pemasukan Satu Hari Kedepan</t>
  </si>
  <si>
    <t>Tanggal</t>
  </si>
  <si>
    <t>Alokasi Pengeluaran</t>
  </si>
  <si>
    <t>Kategori</t>
  </si>
  <si>
    <t>Tabungan utama</t>
  </si>
  <si>
    <t>Biaya makan bulanan</t>
  </si>
  <si>
    <t>Sewa kost</t>
  </si>
  <si>
    <t>Kebutuhan personal</t>
  </si>
  <si>
    <t>Simpanan dana darurat</t>
  </si>
  <si>
    <t>Jajan</t>
  </si>
  <si>
    <t>Untuk orang tua</t>
  </si>
  <si>
    <t>Biaya transport bulanan</t>
  </si>
  <si>
    <t>Apa Aja</t>
  </si>
  <si>
    <t>Apa AJa</t>
  </si>
  <si>
    <t>apa aja</t>
  </si>
  <si>
    <t>Beli sepatu</t>
  </si>
  <si>
    <t>Servis kendaraan</t>
  </si>
  <si>
    <t>Apa aja</t>
  </si>
  <si>
    <t>January 2025</t>
  </si>
  <si>
    <t>JANGAN DIUBAH !!!!</t>
  </si>
  <si>
    <t>February 2025</t>
  </si>
  <si>
    <t>March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</si>
</sst>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[$Rp]#,##0"/>
    <numFmt numFmtId="166" formatCode="dd/MM/yyyy"/>
    <numFmt numFmtId="167" formatCode="d/m/yyyy"/>
  </numFmts>
  <fonts count="24">
    <font>
      <sz val="10.0"/>
      <color rgb="FF000000"/>
      <name val="Arial"/>
      <scheme val="minor"/>
    </font>
    <font>
      <b/>
      <sz val="30.0"/>
      <color theme="1"/>
      <name val="Comic Sans MS"/>
    </font>
    <font>
      <b/>
      <sz val="14.0"/>
      <color theme="1"/>
      <name val="Comic Sans MS"/>
    </font>
    <font>
      <color theme="1"/>
      <name val="Arial"/>
      <scheme val="minor"/>
    </font>
    <font>
      <b/>
      <sz val="11.0"/>
      <color theme="1"/>
      <name val="Work Sans"/>
    </font>
    <font>
      <color theme="1"/>
      <name val="Work Sans"/>
    </font>
    <font>
      <sz val="12.0"/>
      <color theme="1"/>
      <name val="Arial"/>
      <scheme val="minor"/>
    </font>
    <font>
      <sz val="11.0"/>
      <color theme="1"/>
      <name val="Work Sans"/>
    </font>
    <font>
      <b/>
      <sz val="15.0"/>
      <color theme="1"/>
      <name val="Arial"/>
      <scheme val="minor"/>
    </font>
    <font/>
    <font>
      <sz val="15.0"/>
      <color theme="1"/>
      <name val="Arial"/>
      <scheme val="minor"/>
    </font>
    <font>
      <b/>
      <sz val="15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sz val="11.0"/>
      <color theme="0"/>
      <name val="Work Sans"/>
    </font>
    <font>
      <sz val="11.0"/>
      <color theme="0"/>
      <name val="Arial"/>
      <scheme val="minor"/>
    </font>
    <font>
      <b/>
      <sz val="18.0"/>
      <color rgb="FFFF0000"/>
      <name val="Arial"/>
      <scheme val="minor"/>
    </font>
    <font>
      <b/>
      <sz val="12.0"/>
      <color rgb="FFFF0000"/>
      <name val="Arial"/>
      <scheme val="minor"/>
    </font>
    <font>
      <b/>
      <sz val="14.0"/>
      <color rgb="FFFF0000"/>
      <name val="Arial"/>
      <scheme val="minor"/>
    </font>
    <font>
      <b/>
      <sz val="12.0"/>
      <color theme="1"/>
      <name val="Work Sans"/>
    </font>
    <font>
      <color rgb="FF434343"/>
      <name val="Work Sans"/>
    </font>
    <font>
      <color theme="1"/>
      <name val="Arial"/>
    </font>
    <font>
      <sz val="20.0"/>
      <color rgb="FFFF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medium">
        <color rgb="FFEFEFEF"/>
      </right>
      <top style="medium">
        <color rgb="FFEFEFEF"/>
      </top>
      <bottom style="thin">
        <color rgb="FFEFEFEF"/>
      </bottom>
    </border>
    <border>
      <left style="medium">
        <color rgb="FFEFEFEF"/>
      </left>
      <top style="medium">
        <color rgb="FFEFEFEF"/>
      </top>
    </border>
    <border>
      <top style="medium">
        <color rgb="FFEFEFEF"/>
      </top>
    </border>
    <border>
      <right style="thin">
        <color rgb="FFEFEFEF"/>
      </right>
      <top style="medium">
        <color rgb="FFEFEFEF"/>
      </top>
    </border>
    <border>
      <left style="thin">
        <color rgb="FFEFEFEF"/>
      </left>
      <right style="thin">
        <color rgb="FFEFEFEF"/>
      </right>
      <top style="medium">
        <color rgb="FFEFEFEF"/>
      </top>
    </border>
    <border>
      <left style="thin">
        <color rgb="FFEFEFEF"/>
      </left>
      <right style="medium">
        <color rgb="FFEFEFEF"/>
      </right>
      <top style="medium">
        <color rgb="FFEFEFEF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3" fontId="3" numFmtId="0" xfId="0" applyBorder="1" applyFill="1" applyFont="1"/>
    <xf borderId="3" fillId="3" fontId="3" numFmtId="0" xfId="0" applyBorder="1" applyFont="1"/>
    <xf borderId="4" fillId="4" fontId="4" numFmtId="0" xfId="0" applyAlignment="1" applyBorder="1" applyFill="1" applyFont="1">
      <alignment horizontal="center" readingOrder="0" vertical="center"/>
    </xf>
    <xf borderId="5" fillId="4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5" numFmtId="0" xfId="0" applyFont="1"/>
    <xf borderId="6" fillId="5" fontId="6" numFmtId="164" xfId="0" applyAlignment="1" applyBorder="1" applyFill="1" applyFont="1" applyNumberFormat="1">
      <alignment horizontal="center" readingOrder="0"/>
    </xf>
    <xf borderId="0" fillId="3" fontId="3" numFmtId="0" xfId="0" applyFont="1"/>
    <xf borderId="7" fillId="3" fontId="3" numFmtId="0" xfId="0" applyBorder="1" applyFont="1"/>
    <xf borderId="6" fillId="0" fontId="4" numFmtId="0" xfId="0" applyAlignment="1" applyBorder="1" applyFont="1">
      <alignment horizontal="left" readingOrder="0" vertical="center"/>
    </xf>
    <xf borderId="7" fillId="0" fontId="7" numFmtId="165" xfId="0" applyAlignment="1" applyBorder="1" applyFont="1" applyNumberFormat="1">
      <alignment horizontal="left" readingOrder="0" vertical="center"/>
    </xf>
    <xf borderId="1" fillId="4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6" fillId="3" fontId="3" numFmtId="0" xfId="0" applyBorder="1" applyFont="1"/>
    <xf borderId="7" fillId="0" fontId="7" numFmtId="165" xfId="0" applyAlignment="1" applyBorder="1" applyFont="1" applyNumberFormat="1">
      <alignment horizontal="left" vertical="center"/>
    </xf>
    <xf borderId="0" fillId="0" fontId="7" numFmtId="165" xfId="0" applyAlignment="1" applyFont="1" applyNumberFormat="1">
      <alignment horizontal="left" readingOrder="0" vertical="center"/>
    </xf>
    <xf borderId="7" fillId="0" fontId="7" numFmtId="10" xfId="0" applyAlignment="1" applyBorder="1" applyFont="1" applyNumberFormat="1">
      <alignment horizontal="left" readingOrder="0" vertical="center"/>
    </xf>
    <xf borderId="0" fillId="0" fontId="5" numFmtId="0" xfId="0" applyAlignment="1" applyFont="1">
      <alignment readingOrder="0" vertical="center"/>
    </xf>
    <xf borderId="1" fillId="2" fontId="8" numFmtId="0" xfId="0" applyAlignment="1" applyBorder="1" applyFont="1">
      <alignment horizontal="center" readingOrder="0"/>
    </xf>
    <xf borderId="3" fillId="0" fontId="9" numFmtId="0" xfId="0" applyBorder="1" applyFont="1"/>
    <xf borderId="8" fillId="0" fontId="4" numFmtId="0" xfId="0" applyAlignment="1" applyBorder="1" applyFont="1">
      <alignment horizontal="left" readingOrder="0" vertical="center"/>
    </xf>
    <xf borderId="9" fillId="0" fontId="7" numFmtId="165" xfId="0" applyAlignment="1" applyBorder="1" applyFont="1" applyNumberFormat="1">
      <alignment horizontal="left" vertical="center"/>
    </xf>
    <xf borderId="8" fillId="0" fontId="10" numFmtId="165" xfId="0" applyAlignment="1" applyBorder="1" applyFont="1" applyNumberFormat="1">
      <alignment horizontal="center"/>
    </xf>
    <xf borderId="9" fillId="0" fontId="9" numFmtId="0" xfId="0" applyBorder="1" applyFont="1"/>
    <xf borderId="8" fillId="0" fontId="10" numFmtId="165" xfId="0" applyAlignment="1" applyBorder="1" applyFont="1" applyNumberFormat="1">
      <alignment horizontal="center"/>
    </xf>
    <xf borderId="10" fillId="4" fontId="4" numFmtId="0" xfId="0" applyAlignment="1" applyBorder="1" applyFont="1">
      <alignment horizontal="center" readingOrder="0" vertical="center"/>
    </xf>
    <xf borderId="0" fillId="3" fontId="3" numFmtId="0" xfId="0" applyAlignment="1" applyFont="1">
      <alignment readingOrder="0"/>
    </xf>
    <xf borderId="11" fillId="6" fontId="11" numFmtId="0" xfId="0" applyAlignment="1" applyBorder="1" applyFill="1" applyFont="1">
      <alignment horizontal="center" readingOrder="0"/>
    </xf>
    <xf borderId="12" fillId="0" fontId="9" numFmtId="0" xfId="0" applyBorder="1" applyFont="1"/>
    <xf borderId="13" fillId="0" fontId="9" numFmtId="0" xfId="0" applyBorder="1" applyFont="1"/>
    <xf borderId="14" fillId="0" fontId="7" numFmtId="165" xfId="0" applyAlignment="1" applyBorder="1" applyFont="1" applyNumberFormat="1">
      <alignment horizontal="left" readingOrder="0" vertical="center"/>
    </xf>
    <xf borderId="9" fillId="0" fontId="7" numFmtId="10" xfId="0" applyAlignment="1" applyBorder="1" applyFont="1" applyNumberFormat="1">
      <alignment horizontal="left" readingOrder="0" vertical="center"/>
    </xf>
    <xf borderId="1" fillId="6" fontId="8" numFmtId="0" xfId="0" applyAlignment="1" applyBorder="1" applyFont="1">
      <alignment horizontal="center" readingOrder="0"/>
    </xf>
    <xf borderId="11" fillId="6" fontId="8" numFmtId="0" xfId="0" applyAlignment="1" applyBorder="1" applyFont="1">
      <alignment horizontal="center" readingOrder="0"/>
    </xf>
    <xf borderId="11" fillId="0" fontId="10" numFmtId="165" xfId="0" applyAlignment="1" applyBorder="1" applyFont="1" applyNumberFormat="1">
      <alignment horizontal="center"/>
    </xf>
    <xf borderId="11" fillId="0" fontId="10" numFmtId="165" xfId="0" applyAlignment="1" applyBorder="1" applyFont="1" applyNumberFormat="1">
      <alignment horizontal="center"/>
    </xf>
    <xf borderId="11" fillId="7" fontId="11" numFmtId="0" xfId="0" applyAlignment="1" applyBorder="1" applyFill="1" applyFont="1">
      <alignment horizontal="center" readingOrder="0"/>
    </xf>
    <xf borderId="1" fillId="7" fontId="8" numFmtId="0" xfId="0" applyAlignment="1" applyBorder="1" applyFont="1">
      <alignment horizontal="center" readingOrder="0"/>
    </xf>
    <xf borderId="15" fillId="8" fontId="4" numFmtId="0" xfId="0" applyAlignment="1" applyBorder="1" applyFill="1" applyFont="1">
      <alignment readingOrder="0" vertical="center"/>
    </xf>
    <xf borderId="0" fillId="8" fontId="12" numFmtId="0" xfId="0" applyFont="1"/>
    <xf borderId="8" fillId="5" fontId="10" numFmtId="165" xfId="0" applyAlignment="1" applyBorder="1" applyFont="1" applyNumberFormat="1">
      <alignment horizontal="center"/>
    </xf>
    <xf borderId="8" fillId="5" fontId="10" numFmtId="165" xfId="0" applyAlignment="1" applyBorder="1" applyFont="1" applyNumberFormat="1">
      <alignment horizontal="center"/>
    </xf>
    <xf borderId="0" fillId="9" fontId="13" numFmtId="0" xfId="0" applyAlignment="1" applyFill="1" applyFont="1">
      <alignment readingOrder="0"/>
    </xf>
    <xf borderId="0" fillId="10" fontId="14" numFmtId="165" xfId="0" applyFill="1" applyFont="1" applyNumberFormat="1"/>
    <xf borderId="0" fillId="0" fontId="15" numFmtId="0" xfId="0" applyAlignment="1" applyFont="1">
      <alignment readingOrder="0" vertical="center"/>
    </xf>
    <xf borderId="0" fillId="0" fontId="16" numFmtId="165" xfId="0" applyFont="1" applyNumberFormat="1"/>
    <xf borderId="8" fillId="3" fontId="3" numFmtId="0" xfId="0" applyBorder="1" applyFont="1"/>
    <xf borderId="14" fillId="3" fontId="3" numFmtId="0" xfId="0" applyBorder="1" applyFont="1"/>
    <xf borderId="9" fillId="3" fontId="3" numFmtId="0" xfId="0" applyBorder="1" applyFont="1"/>
    <xf borderId="0" fillId="0" fontId="17" numFmtId="0" xfId="0" applyFont="1"/>
    <xf borderId="15" fillId="0" fontId="4" numFmtId="0" xfId="0" applyAlignment="1" applyBorder="1" applyFont="1">
      <alignment readingOrder="0" vertical="center"/>
    </xf>
    <xf borderId="0" fillId="0" fontId="12" numFmtId="0" xfId="0" applyFont="1"/>
    <xf borderId="0" fillId="0" fontId="18" numFmtId="0" xfId="0" applyFont="1"/>
    <xf borderId="0" fillId="0" fontId="19" numFmtId="0" xfId="0" applyFont="1"/>
    <xf borderId="0" fillId="0" fontId="20" numFmtId="0" xfId="0" applyAlignment="1" applyFont="1">
      <alignment horizontal="center" readingOrder="0" vertical="center"/>
    </xf>
    <xf borderId="0" fillId="11" fontId="4" numFmtId="0" xfId="0" applyAlignment="1" applyFill="1" applyFont="1">
      <alignment readingOrder="0" vertical="center"/>
    </xf>
    <xf borderId="16" fillId="11" fontId="4" numFmtId="0" xfId="0" applyAlignment="1" applyBorder="1" applyFont="1">
      <alignment readingOrder="0" vertical="center"/>
    </xf>
    <xf borderId="17" fillId="0" fontId="9" numFmtId="0" xfId="0" applyBorder="1" applyFont="1"/>
    <xf borderId="18" fillId="0" fontId="9" numFmtId="0" xfId="0" applyBorder="1" applyFont="1"/>
    <xf borderId="19" fillId="11" fontId="4" numFmtId="0" xfId="0" applyAlignment="1" applyBorder="1" applyFont="1">
      <alignment readingOrder="0" vertical="center"/>
    </xf>
    <xf borderId="20" fillId="11" fontId="4" numFmtId="0" xfId="0" applyAlignment="1" applyBorder="1" applyFont="1">
      <alignment readingOrder="0" vertical="center"/>
    </xf>
    <xf borderId="0" fillId="0" fontId="5" numFmtId="166" xfId="0" applyAlignment="1" applyFont="1" applyNumberFormat="1">
      <alignment readingOrder="0" vertical="center"/>
    </xf>
    <xf borderId="0" fillId="0" fontId="21" numFmtId="165" xfId="0" applyAlignment="1" applyFont="1" applyNumberFormat="1">
      <alignment horizontal="right" readingOrder="0" shrinkToFit="0" wrapText="1"/>
    </xf>
    <xf borderId="0" fillId="0" fontId="5" numFmtId="10" xfId="0" applyAlignment="1" applyFont="1" applyNumberFormat="1">
      <alignment vertical="center"/>
    </xf>
    <xf borderId="0" fillId="0" fontId="5" numFmtId="167" xfId="0" applyAlignment="1" applyFont="1" applyNumberFormat="1">
      <alignment readingOrder="0" vertical="center"/>
    </xf>
    <xf borderId="0" fillId="0" fontId="21" numFmtId="165" xfId="0" applyAlignment="1" applyFont="1" applyNumberFormat="1">
      <alignment horizontal="right" shrinkToFit="0" wrapText="1"/>
    </xf>
    <xf borderId="0" fillId="0" fontId="5" numFmtId="0" xfId="0" applyAlignment="1" applyFont="1">
      <alignment readingOrder="0"/>
    </xf>
    <xf borderId="0" fillId="0" fontId="21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readingOrder="0" vertical="center"/>
    </xf>
    <xf borderId="0" fillId="0" fontId="21" numFmtId="165" xfId="0" applyAlignment="1" applyFont="1" applyNumberFormat="1">
      <alignment horizontal="right" readingOrder="0" shrinkToFit="0" vertical="bottom" wrapText="1"/>
    </xf>
    <xf borderId="0" fillId="0" fontId="5" numFmtId="165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5" numFmtId="166" xfId="0" applyFont="1" applyNumberFormat="1"/>
    <xf borderId="0" fillId="12" fontId="4" numFmtId="0" xfId="0" applyAlignment="1" applyFill="1" applyFont="1">
      <alignment readingOrder="0"/>
    </xf>
    <xf borderId="0" fillId="12" fontId="4" numFmtId="165" xfId="0" applyAlignment="1" applyFont="1" applyNumberFormat="1">
      <alignment readingOrder="0"/>
    </xf>
    <xf borderId="0" fillId="12" fontId="4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3" numFmtId="166" xfId="0" applyFont="1" applyNumberFormat="1"/>
    <xf borderId="0" fillId="0" fontId="3" numFmtId="165" xfId="0" applyFont="1" applyNumberFormat="1"/>
    <xf borderId="0" fillId="0" fontId="3" numFmtId="165" xfId="0" applyFont="1" applyNumberFormat="1"/>
    <xf borderId="0" fillId="0" fontId="22" numFmtId="165" xfId="0" applyAlignment="1" applyFont="1" applyNumberForma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167" xfId="0" applyFont="1" applyNumberFormat="1"/>
    <xf borderId="0" fillId="0" fontId="2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Grafik Pengeluaran Perbulan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Rangkuman!$F$2:$F$20</c:f>
            </c:strRef>
          </c:cat>
          <c:val>
            <c:numRef>
              <c:f>Rangkuman!$G$2:$G$20</c:f>
              <c:numCache/>
            </c:numRef>
          </c:val>
          <c:smooth val="0"/>
        </c:ser>
        <c:axId val="1891257707"/>
        <c:axId val="2004341151"/>
      </c:lineChart>
      <c:catAx>
        <c:axId val="1891257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341151"/>
      </c:catAx>
      <c:valAx>
        <c:axId val="2004341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p]#,##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257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Grafik Pemasukan Perbulan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Rangkuman!$F$2:$F$20</c:f>
            </c:strRef>
          </c:cat>
          <c:val>
            <c:numRef>
              <c:f>Rangkuman!$H$2:$H$20</c:f>
              <c:numCache/>
            </c:numRef>
          </c:val>
          <c:smooth val="0"/>
        </c:ser>
        <c:axId val="1531572549"/>
        <c:axId val="1935343692"/>
      </c:lineChart>
      <c:catAx>
        <c:axId val="1531572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343692"/>
      </c:catAx>
      <c:valAx>
        <c:axId val="1935343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p]#,##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572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Grafik Kategori Pengeluaran Per Bulan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Rangkuman!$K$2:$K$35</c:f>
            </c:strRef>
          </c:cat>
          <c:val>
            <c:numRef>
              <c:f>Rangkuman!$L$2:$L$35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Grafik Kategori Pemasukan Per Bulan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Rangkuman!$N$2:$N$30</c:f>
            </c:strRef>
          </c:cat>
          <c:val>
            <c:numRef>
              <c:f>Rangkuman!$O$2:$O$30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3.xml"/><Relationship Id="rId6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26</xdr:row>
      <xdr:rowOff>142875</xdr:rowOff>
    </xdr:from>
    <xdr:ext cx="4333875" cy="268605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381000</xdr:colOff>
      <xdr:row>45</xdr:row>
      <xdr:rowOff>38100</xdr:rowOff>
    </xdr:from>
    <xdr:ext cx="4333875" cy="2686050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819150</xdr:colOff>
      <xdr:row>26</xdr:row>
      <xdr:rowOff>142875</xdr:rowOff>
    </xdr:from>
    <xdr:ext cx="4333875" cy="2686050"/>
    <xdr:pic>
      <xdr:nvPicPr>
        <xdr:cNvPr id="1960422070" name="Chart3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45</xdr:row>
      <xdr:rowOff>38100</xdr:rowOff>
    </xdr:from>
    <xdr:ext cx="4333875" cy="2686050"/>
    <xdr:pic>
      <xdr:nvPicPr>
        <xdr:cNvPr id="163275770" name="Chart4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26</xdr:row>
      <xdr:rowOff>171450</xdr:rowOff>
    </xdr:from>
    <xdr:ext cx="4219575" cy="2657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76200</xdr:colOff>
      <xdr:row>45</xdr:row>
      <xdr:rowOff>38100</xdr:rowOff>
    </xdr:from>
    <xdr:ext cx="4257675" cy="25908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12" max="12" width="37.63"/>
    <col customWidth="1" min="16" max="16" width="29.0"/>
  </cols>
  <sheetData>
    <row r="1">
      <c r="C1" s="1" t="s">
        <v>0</v>
      </c>
    </row>
    <row r="5">
      <c r="A5" s="2" t="s">
        <v>1</v>
      </c>
      <c r="B5" s="3"/>
      <c r="C5" s="3"/>
      <c r="D5" s="3"/>
      <c r="E5" s="3"/>
      <c r="F5" s="3"/>
      <c r="G5" s="3"/>
      <c r="H5" s="3"/>
      <c r="I5" s="3"/>
      <c r="J5" s="4"/>
      <c r="L5" s="5" t="s">
        <v>2</v>
      </c>
      <c r="M5" s="6" t="s">
        <v>3</v>
      </c>
      <c r="N5" s="7"/>
      <c r="V5" s="8"/>
      <c r="W5" s="8"/>
      <c r="X5" s="8"/>
      <c r="Y5" s="8"/>
    </row>
    <row r="6" ht="20.25" customHeight="1">
      <c r="A6" s="9">
        <v>45658.0</v>
      </c>
      <c r="B6" s="10"/>
      <c r="C6" s="10"/>
      <c r="D6" s="10"/>
      <c r="E6" s="10"/>
      <c r="F6" s="10"/>
      <c r="G6" s="10"/>
      <c r="H6" s="10"/>
      <c r="I6" s="10"/>
      <c r="J6" s="11"/>
      <c r="L6" s="12" t="s">
        <v>4</v>
      </c>
      <c r="M6" s="13">
        <f>IFERROR(__xludf.DUMMYFUNCTION("IFERROR(SUM(FILTER(Budgeting!K2:K1000, Budgeting!K2:K1000&lt;&gt;"""")), 0)
"),9270000.0)</f>
        <v>9270000</v>
      </c>
      <c r="N6" s="7"/>
      <c r="P6" s="14" t="s">
        <v>5</v>
      </c>
      <c r="Q6" s="15" t="s">
        <v>3</v>
      </c>
      <c r="R6" s="16" t="s">
        <v>6</v>
      </c>
      <c r="V6" s="17"/>
      <c r="W6" s="17"/>
      <c r="X6" s="17"/>
      <c r="Y6" s="17"/>
    </row>
    <row r="7">
      <c r="A7" s="18"/>
      <c r="B7" s="10"/>
      <c r="C7" s="10"/>
      <c r="D7" s="10"/>
      <c r="E7" s="10"/>
      <c r="F7" s="10"/>
      <c r="G7" s="10"/>
      <c r="H7" s="10"/>
      <c r="I7" s="10"/>
      <c r="J7" s="11"/>
      <c r="L7" s="12" t="s">
        <v>7</v>
      </c>
      <c r="M7" s="19">
        <f>SUM(Budgeting!E2:E1000)</f>
        <v>8646900</v>
      </c>
      <c r="N7" s="7"/>
      <c r="P7" s="12" t="s">
        <v>8</v>
      </c>
      <c r="Q7" s="20">
        <f>SUMPRODUCT(Budgeting!$K$3:K1000,Budgeting!$L$3:L1000=P7)</f>
        <v>4150000</v>
      </c>
      <c r="R7" s="21">
        <f t="shared" ref="R7:R12" si="1">Q7/$M$7</f>
        <v>0.479940788</v>
      </c>
      <c r="V7" s="17"/>
      <c r="W7" s="17"/>
      <c r="X7" s="17"/>
      <c r="Y7" s="22"/>
    </row>
    <row r="8">
      <c r="A8" s="18"/>
      <c r="B8" s="23" t="s">
        <v>4</v>
      </c>
      <c r="C8" s="24"/>
      <c r="D8" s="10"/>
      <c r="E8" s="23" t="s">
        <v>7</v>
      </c>
      <c r="F8" s="24"/>
      <c r="G8" s="10"/>
      <c r="H8" s="23" t="s">
        <v>9</v>
      </c>
      <c r="I8" s="24"/>
      <c r="J8" s="11"/>
      <c r="L8" s="25" t="s">
        <v>9</v>
      </c>
      <c r="M8" s="26">
        <f>M6-M7</f>
        <v>623100</v>
      </c>
      <c r="N8" s="7"/>
      <c r="P8" s="12" t="s">
        <v>10</v>
      </c>
      <c r="Q8" s="20">
        <f>SUMPRODUCT(Budgeting!$K$3:K1000,Budgeting!$L$3:L1000=P8)</f>
        <v>3450000</v>
      </c>
      <c r="R8" s="21">
        <f t="shared" si="1"/>
        <v>0.3989869202</v>
      </c>
      <c r="V8" s="17"/>
      <c r="W8" s="17"/>
      <c r="X8" s="17"/>
      <c r="Y8" s="17"/>
    </row>
    <row r="9">
      <c r="A9" s="18"/>
      <c r="B9" s="27">
        <f>sumifs(Rangkuman!H:H, Rangkuman!F:F,A6)</f>
        <v>5000000</v>
      </c>
      <c r="C9" s="28"/>
      <c r="D9" s="10"/>
      <c r="E9" s="29">
        <f>sumifs(Rangkuman!G:G, Rangkuman!F:F,A6)</f>
        <v>5858900</v>
      </c>
      <c r="F9" s="28"/>
      <c r="G9" s="10"/>
      <c r="H9" s="29">
        <f>B9-E9</f>
        <v>-858900</v>
      </c>
      <c r="I9" s="28"/>
      <c r="J9" s="11"/>
      <c r="L9" s="5" t="s">
        <v>11</v>
      </c>
      <c r="M9" s="30" t="s">
        <v>3</v>
      </c>
      <c r="N9" s="6" t="s">
        <v>6</v>
      </c>
      <c r="P9" s="12" t="s">
        <v>12</v>
      </c>
      <c r="Q9" s="20">
        <f>SUMPRODUCT(Budgeting!$K$3:K1000,Budgeting!$L$3:L1000=P9)</f>
        <v>620000</v>
      </c>
      <c r="R9" s="21">
        <f t="shared" si="1"/>
        <v>0.07170199725</v>
      </c>
    </row>
    <row r="10">
      <c r="A10" s="18"/>
      <c r="B10" s="31"/>
      <c r="C10" s="10"/>
      <c r="D10" s="10"/>
      <c r="E10" s="10"/>
      <c r="F10" s="10"/>
      <c r="G10" s="10"/>
      <c r="H10" s="10"/>
      <c r="I10" s="10"/>
      <c r="J10" s="11"/>
      <c r="L10" s="12" t="s">
        <v>13</v>
      </c>
      <c r="M10" s="20">
        <f>SUMPRODUCT(Budgeting!$E$3:E1000,Budgeting!$F$3:F1000=L10)</f>
        <v>1208900</v>
      </c>
      <c r="N10" s="21">
        <f t="shared" ref="N10:N12" si="2">M10/$M$7</f>
        <v>0.1398073298</v>
      </c>
      <c r="P10" s="12" t="s">
        <v>14</v>
      </c>
      <c r="Q10" s="20">
        <f>SUMPRODUCT(Budgeting!$K$3:K1000,Budgeting!$L$3:L1000=P10)</f>
        <v>350000</v>
      </c>
      <c r="R10" s="21">
        <f t="shared" si="1"/>
        <v>0.04047693393</v>
      </c>
    </row>
    <row r="11">
      <c r="A11" s="18"/>
      <c r="B11" s="31"/>
      <c r="C11" s="10"/>
      <c r="D11" s="32" t="s">
        <v>15</v>
      </c>
      <c r="E11" s="33"/>
      <c r="F11" s="33"/>
      <c r="G11" s="34"/>
      <c r="H11" s="10"/>
      <c r="I11" s="10"/>
      <c r="J11" s="11"/>
      <c r="L11" s="12" t="s">
        <v>16</v>
      </c>
      <c r="M11" s="20">
        <f>SUMPRODUCT(Budgeting!$E$3:E1000,Budgeting!$F$3:F1000=L11)</f>
        <v>5710000</v>
      </c>
      <c r="N11" s="21">
        <f t="shared" si="2"/>
        <v>0.660352265</v>
      </c>
      <c r="P11" s="12" t="s">
        <v>17</v>
      </c>
      <c r="Q11" s="20">
        <f>SUMPRODUCT(Budgeting!$K$3:K1000,Budgeting!$L$3:L1000=P11)</f>
        <v>350000</v>
      </c>
      <c r="R11" s="21">
        <f t="shared" si="1"/>
        <v>0.04047693393</v>
      </c>
    </row>
    <row r="12">
      <c r="A12" s="18"/>
      <c r="B12" s="10"/>
      <c r="C12" s="10"/>
      <c r="D12" s="10"/>
      <c r="E12" s="10"/>
      <c r="F12" s="10"/>
      <c r="G12" s="10"/>
      <c r="H12" s="10"/>
      <c r="I12" s="10"/>
      <c r="J12" s="11"/>
      <c r="L12" s="25" t="s">
        <v>18</v>
      </c>
      <c r="M12" s="35">
        <f>SUMPRODUCT(Budgeting!$E$3:E1000,Budgeting!$F$3:F1000=L12)</f>
        <v>1728000</v>
      </c>
      <c r="N12" s="36">
        <f t="shared" si="2"/>
        <v>0.1998404052</v>
      </c>
      <c r="P12" s="25" t="s">
        <v>19</v>
      </c>
      <c r="Q12" s="35">
        <f>SUMPRODUCT(Budgeting!$K$3:K1000,Budgeting!$L$3:L1000=P12)</f>
        <v>350000</v>
      </c>
      <c r="R12" s="36">
        <f t="shared" si="1"/>
        <v>0.04047693393</v>
      </c>
    </row>
    <row r="13">
      <c r="A13" s="18"/>
      <c r="B13" s="37" t="s">
        <v>13</v>
      </c>
      <c r="C13" s="24"/>
      <c r="D13" s="10"/>
      <c r="E13" s="38" t="s">
        <v>16</v>
      </c>
      <c r="F13" s="34"/>
      <c r="G13" s="10"/>
      <c r="H13" s="37" t="s">
        <v>18</v>
      </c>
      <c r="I13" s="24"/>
      <c r="J13" s="11"/>
    </row>
    <row r="14">
      <c r="A14" s="18"/>
      <c r="B14" s="39">
        <f>SUMIFS(Budgeting!E:E, Budgeting!F:F, "Tabungan", Budgeting!H:H, $A$6)
</f>
        <v>1108900</v>
      </c>
      <c r="C14" s="34"/>
      <c r="D14" s="10"/>
      <c r="E14" s="40">
        <f>SUMIFS(Budgeting!E:E, Budgeting!F:F, "Kebutuhan", Budgeting!H:H, $A$6)
</f>
        <v>3810000</v>
      </c>
      <c r="F14" s="34"/>
      <c r="G14" s="10"/>
      <c r="H14" s="40">
        <f>SUMIFS(Budgeting!E:E, Budgeting!F:F, "Keinginan", Budgeting!H:H, $A$6)
</f>
        <v>940000</v>
      </c>
      <c r="I14" s="34"/>
      <c r="J14" s="11"/>
    </row>
    <row r="15">
      <c r="A15" s="18"/>
      <c r="B15" s="10"/>
      <c r="C15" s="10"/>
      <c r="D15" s="10"/>
      <c r="E15" s="10"/>
      <c r="F15" s="10"/>
      <c r="G15" s="10"/>
      <c r="H15" s="10"/>
      <c r="I15" s="10"/>
      <c r="J15" s="11"/>
    </row>
    <row r="16">
      <c r="A16" s="18"/>
      <c r="B16" s="10"/>
      <c r="C16" s="10"/>
      <c r="D16" s="41" t="s">
        <v>20</v>
      </c>
      <c r="E16" s="33"/>
      <c r="F16" s="33"/>
      <c r="G16" s="34"/>
      <c r="H16" s="10"/>
      <c r="I16" s="10"/>
      <c r="J16" s="11"/>
    </row>
    <row r="17">
      <c r="A17" s="18"/>
      <c r="B17" s="10"/>
      <c r="C17" s="10"/>
      <c r="D17" s="10"/>
      <c r="E17" s="10"/>
      <c r="F17" s="10"/>
      <c r="G17" s="10"/>
      <c r="H17" s="10"/>
      <c r="I17" s="10"/>
      <c r="J17" s="11"/>
    </row>
    <row r="18">
      <c r="A18" s="18"/>
      <c r="B18" s="42" t="s">
        <v>8</v>
      </c>
      <c r="C18" s="24"/>
      <c r="D18" s="10"/>
      <c r="E18" s="42" t="s">
        <v>10</v>
      </c>
      <c r="F18" s="24"/>
      <c r="G18" s="10"/>
      <c r="H18" s="42" t="s">
        <v>12</v>
      </c>
      <c r="I18" s="24"/>
      <c r="J18" s="11"/>
      <c r="L18" s="43"/>
      <c r="M18" s="44"/>
    </row>
    <row r="19">
      <c r="A19" s="18"/>
      <c r="B19" s="45">
        <f>SUMIFS(Budgeting!K:K, Budgeting!L:L, "Gaji", Budgeting!N:N, $A$6)
</f>
        <v>2150000</v>
      </c>
      <c r="C19" s="28"/>
      <c r="D19" s="10"/>
      <c r="E19" s="46">
        <f>SUMIFS(Budgeting!K:K, Budgeting!L:L, "Tunjangan", Budgeting!N:N, $A$6)
</f>
        <v>1500000</v>
      </c>
      <c r="F19" s="28"/>
      <c r="G19" s="10"/>
      <c r="H19" s="46">
        <f>SUMIFS(Budgeting!K:K, Budgeting!L:L, "Bonus", Budgeting!N:N, $A$6)
</f>
        <v>300000</v>
      </c>
      <c r="I19" s="28"/>
      <c r="J19" s="11"/>
      <c r="L19" s="47" t="s">
        <v>21</v>
      </c>
      <c r="M19" s="48">
        <f t="array" ref="M19">AVERAGE(
    INDEX(Rangkuman!R:R, MATCH(1E+100, Rangkuman!R:R)-1),
    INDEX(Rangkuman!R:R, MATCH(1E+100, Rangkuman!R:R))
)</f>
        <v>404450</v>
      </c>
    </row>
    <row r="20">
      <c r="A20" s="18"/>
      <c r="B20" s="10"/>
      <c r="C20" s="10"/>
      <c r="D20" s="10"/>
      <c r="E20" s="10"/>
      <c r="F20" s="10"/>
      <c r="G20" s="10"/>
      <c r="H20" s="10"/>
      <c r="I20" s="10"/>
      <c r="J20" s="11"/>
      <c r="L20" s="49" t="s">
        <v>22</v>
      </c>
      <c r="M20" s="50">
        <f t="array" ref="M20">AVERAGE(
    INDEX(Rangkuman!R:R, MATCH(1E+100, Rangkuman!R:R)-2),
    INDEX(Rangkuman!R:R, MATCH(1E+100, Rangkuman!R:R)-1),
    INDEX(Rangkuman!R:R, MATCH(1E+100, Rangkuman!R:R))
)
</f>
        <v>289633.3333</v>
      </c>
    </row>
    <row r="21">
      <c r="A21" s="18"/>
      <c r="B21" s="42" t="s">
        <v>14</v>
      </c>
      <c r="C21" s="24"/>
      <c r="D21" s="10"/>
      <c r="E21" s="42" t="s">
        <v>17</v>
      </c>
      <c r="F21" s="24"/>
      <c r="G21" s="10"/>
      <c r="H21" s="42" t="s">
        <v>19</v>
      </c>
      <c r="I21" s="24"/>
      <c r="J21" s="11"/>
      <c r="L21" s="49" t="s">
        <v>23</v>
      </c>
      <c r="M21" s="50">
        <f t="array" ref="M21">AVERAGE(
    INDEX(Rangkuman!R:R, MATCH(1E+100, Rangkuman!R:R)-4),
    INDEX(Rangkuman!R:R, MATCH(1E+100, Rangkuman!R:R)-3),
    INDEX(Rangkuman!R:R, MATCH(1E+100, Rangkuman!R:R)-2),
    INDEX(Rangkuman!R:R, MATCH(1E+100, Rangkuman!R:R)-1),
    INDEX(Rangkuman!R:R, MATCH(1E+100, Rangkuman!R:R))
)
</f>
        <v>209780</v>
      </c>
    </row>
    <row r="22">
      <c r="A22" s="51"/>
      <c r="B22" s="46">
        <f>SUMIFS(Budgeting!K:K, Budgeting!L:L, "Hadiah", Budgeting!N:N, $A$6)
</f>
        <v>350000</v>
      </c>
      <c r="C22" s="28"/>
      <c r="D22" s="52"/>
      <c r="E22" s="46">
        <f>SUMIFS(Budgeting!K:K, Budgeting!L:L, "Penjualan", Budgeting!N:N, $A$6)
</f>
        <v>350000</v>
      </c>
      <c r="F22" s="28"/>
      <c r="G22" s="52"/>
      <c r="H22" s="46">
        <f>SUMIFS(Budgeting!K:K, Budgeting!L:L, "Sewa", Budgeting!N:N, $A$6)
</f>
        <v>350000</v>
      </c>
      <c r="I22" s="28"/>
      <c r="J22" s="53"/>
    </row>
    <row r="24">
      <c r="A24" s="54" t="str">
        <f>IF(E9&gt;B9,"Pengeluaran sudah melebihi pemasukan!",
IF(E9&gt;=0.9*B9,"Pengeluaran hampir mencapai total pemasukan. Coba lebih hemat!",
"Keuangan dalam kondisi aman."))
</f>
        <v>Pengeluaran sudah melebihi pemasukan!</v>
      </c>
      <c r="L24" s="55"/>
      <c r="M24" s="56"/>
    </row>
    <row r="25">
      <c r="L25" s="47" t="s">
        <v>24</v>
      </c>
      <c r="M25" s="48">
        <f t="array" ref="M25">AVERAGE(
    INDEX(Rangkuman!S:S, MATCH(1E+100, Rangkuman!S:S)-1),
    INDEX(Rangkuman!S:S, MATCH(1E+100, Rangkuman!S:S))
)</f>
        <v>0</v>
      </c>
    </row>
    <row r="26">
      <c r="L26" s="49" t="s">
        <v>22</v>
      </c>
      <c r="M26" s="50">
        <f t="array" ref="M26">AVERAGE(
    INDEX(Rangkuman!S:S, MATCH(1E+100, Rangkuman!S:S)-2),
    INDEX(Rangkuman!S:S, MATCH(1E+100, Rangkuman!S:S)-1),
    INDEX(Rangkuman!S:S, MATCH(1E+100, Rangkuman!S:S))
)
</f>
        <v>0</v>
      </c>
    </row>
    <row r="27">
      <c r="L27" s="49" t="s">
        <v>23</v>
      </c>
      <c r="M27" s="50">
        <f t="array" ref="M27">AVERAGE(
    INDEX(Rangkuman!S:S, MATCH(1E+100, Rangkuman!S:S)-4),
    INDEX(Rangkuman!S:S, MATCH(1E+100, Rangkuman!S:S)-3),
    INDEX(Rangkuman!S:S, MATCH(1E+100, Rangkuman!S:S)-2),
    INDEX(Rangkuman!S:S, MATCH(1E+100, Rangkuman!S:S)-1),
    INDEX(Rangkuman!S:S, MATCH(1E+100, Rangkuman!S:S))
)
</f>
        <v>0</v>
      </c>
    </row>
    <row r="30">
      <c r="M30" s="57"/>
      <c r="N30" s="57"/>
      <c r="O30" s="57"/>
      <c r="P30" s="57"/>
    </row>
    <row r="33">
      <c r="M33" s="58"/>
      <c r="N33" s="58"/>
      <c r="O33" s="58"/>
      <c r="P33" s="58"/>
      <c r="Q33" s="58"/>
      <c r="R33" s="58"/>
      <c r="S33" s="58"/>
    </row>
    <row r="42">
      <c r="A42" s="58" t="str">
        <f>IF(AND(L19 &gt; L20, L20 &gt; L21),
    "Pengeluaran harian kamu terus naik. Sebaiknya mulai mengontrol pengeluaran dan sisihkan uang lebih.",
IF(AND(L19 &lt; L20, L20 &lt; L21),
    "Pengeluaran kamu menurun dari hari ke hari. Pertahankan kebiasaan baik ini.",
IF(L19 &gt; L20,
    "Pengeluaran hari ini lebih besar dari rata-rata sebelumnya. Coba cek kembali apa yang meningkat.",
IF(L19 &lt; L20,
    "Pengeluaran hari ini lebih rendah dari biasanya. Ini waktu yang tepat untuk menabung lebih banyak.",
    "Pengeluaran stabil. Pertahankan pengelolaan keuangan seperti sekarang."))))</f>
        <v>Pengeluaran kamu menurun dari hari ke hari. Pertahankan kebiasaan baik ini.</v>
      </c>
    </row>
    <row r="44">
      <c r="A44" s="58" t="str">
        <f>IF(AND(L25 &gt; L26, L26 &gt; L27),
    "Pemasukan kamu sedang meningkat secara konsisten. Pertahankan performa ini dan manfaatkan momentum untuk menambah sumber pemasukan.",
IF(AND(L25 &lt; L26, L26 &lt; L27),
    "Pemasukan kamu menurun dari hari ke hari. Coba evaluasi penyebab penurunan dan cari peluang untuk meningkatkannya kembali.",
IF(L25 &gt; L26,
    "Pemasukan terbaru kamu lebih tinggi dari biasanya. Ini waktu yang baik untuk memperkuat strategi pemasukan.",
IF(L25 &lt; L26,
    "Pemasukan terbaru kamu lebih rendah dari rata-rata sebelumnya. Perlu diwaspadai dan mungkin perlu langkah perbaikan.",
    "Pemasukan kamu stabil. Pertahankan konsistensinya dan tetap cari peluang peningkatan."))))
</f>
        <v>Pemasukan kamu menurun dari hari ke hari. Coba evaluasi penyebab penurunan dan cari peluang untuk meningkatkannya kembali.</v>
      </c>
    </row>
    <row r="48">
      <c r="G48" s="56"/>
    </row>
    <row r="49">
      <c r="G49" s="56"/>
    </row>
    <row r="50">
      <c r="G50" s="56"/>
    </row>
    <row r="51">
      <c r="G51" s="56"/>
    </row>
  </sheetData>
  <mergeCells count="28">
    <mergeCell ref="C1:K3"/>
    <mergeCell ref="B8:C8"/>
    <mergeCell ref="E8:F8"/>
    <mergeCell ref="H8:I8"/>
    <mergeCell ref="E9:F9"/>
    <mergeCell ref="H9:I9"/>
    <mergeCell ref="D11:G11"/>
    <mergeCell ref="B9:C9"/>
    <mergeCell ref="B13:C13"/>
    <mergeCell ref="E13:F13"/>
    <mergeCell ref="H13:I13"/>
    <mergeCell ref="E14:F14"/>
    <mergeCell ref="H14:I14"/>
    <mergeCell ref="D16:G16"/>
    <mergeCell ref="B21:C21"/>
    <mergeCell ref="E21:F21"/>
    <mergeCell ref="H21:I21"/>
    <mergeCell ref="B22:C22"/>
    <mergeCell ref="E22:F22"/>
    <mergeCell ref="H22:I22"/>
    <mergeCell ref="A24:E24"/>
    <mergeCell ref="B14:C14"/>
    <mergeCell ref="B18:C18"/>
    <mergeCell ref="E18:F18"/>
    <mergeCell ref="H18:I18"/>
    <mergeCell ref="B19:C19"/>
    <mergeCell ref="E19:F19"/>
    <mergeCell ref="H19:I19"/>
  </mergeCells>
  <dataValidations>
    <dataValidation type="list" allowBlank="1" sqref="A6">
      <formula1>Rangkuman!$F$2:$F1000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88"/>
    <col customWidth="1" min="2" max="2" width="16.38"/>
    <col customWidth="1" min="3" max="3" width="15.75"/>
    <col customWidth="1" min="4" max="4" width="6.38"/>
    <col customWidth="1" min="5" max="5" width="16.38"/>
    <col customWidth="1" min="6" max="6" width="15.75"/>
    <col customWidth="1" min="7" max="8" width="12.63"/>
    <col customWidth="1" min="12" max="12" width="18.13"/>
    <col customWidth="1" min="14" max="14" width="16.25"/>
    <col customWidth="1" min="15" max="15" width="9.13"/>
    <col customWidth="1" min="16" max="16" width="8.13"/>
    <col customWidth="1" min="17" max="17" width="14.0"/>
  </cols>
  <sheetData>
    <row r="1">
      <c r="A1" s="59" t="s">
        <v>7</v>
      </c>
      <c r="I1" s="17"/>
      <c r="J1" s="59" t="s">
        <v>4</v>
      </c>
      <c r="O1" s="8"/>
      <c r="P1" s="8"/>
      <c r="Q1" s="8"/>
    </row>
    <row r="2">
      <c r="A2" s="60" t="s">
        <v>25</v>
      </c>
      <c r="B2" s="61" t="s">
        <v>26</v>
      </c>
      <c r="C2" s="62"/>
      <c r="D2" s="63"/>
      <c r="E2" s="64" t="s">
        <v>3</v>
      </c>
      <c r="F2" s="64" t="s">
        <v>27</v>
      </c>
      <c r="G2" s="65" t="s">
        <v>6</v>
      </c>
      <c r="H2" s="60" t="s">
        <v>1</v>
      </c>
      <c r="I2" s="17"/>
      <c r="J2" s="60" t="s">
        <v>25</v>
      </c>
      <c r="K2" s="60" t="s">
        <v>3</v>
      </c>
      <c r="L2" s="60" t="s">
        <v>27</v>
      </c>
      <c r="M2" s="60" t="s">
        <v>6</v>
      </c>
      <c r="N2" s="60" t="s">
        <v>1</v>
      </c>
    </row>
    <row r="3" ht="22.5" customHeight="1">
      <c r="A3" s="66">
        <v>45658.0</v>
      </c>
      <c r="B3" s="22" t="s">
        <v>28</v>
      </c>
      <c r="E3" s="67">
        <v>100000.0</v>
      </c>
      <c r="F3" s="22" t="s">
        <v>13</v>
      </c>
      <c r="G3" s="68">
        <f>E3/Dashboard!$M$7</f>
        <v>0.01156483827</v>
      </c>
      <c r="H3" s="17" t="str">
        <f t="shared" ref="H3:H210" si="1">IF(A3&lt;&gt;"", TEXT(A3, "mmmm yyyy"), "")
</f>
        <v>January 2025</v>
      </c>
      <c r="I3" s="17"/>
      <c r="J3" s="69">
        <v>45658.0</v>
      </c>
      <c r="K3" s="70">
        <v>850000.0</v>
      </c>
      <c r="L3" s="22" t="s">
        <v>8</v>
      </c>
      <c r="M3" s="68">
        <f>K3/Dashboard!$M$7</f>
        <v>0.09830112526</v>
      </c>
      <c r="N3" s="17" t="str">
        <f t="shared" ref="N3:N210" si="2">IF(J3&lt;&gt;"", TEXT(J3, "mmmm yyyy"), "")
</f>
        <v>January 2025</v>
      </c>
    </row>
    <row r="4" ht="18.75" customHeight="1">
      <c r="A4" s="66">
        <v>45659.0</v>
      </c>
      <c r="B4" s="22" t="s">
        <v>29</v>
      </c>
      <c r="E4" s="67">
        <v>1000000.0</v>
      </c>
      <c r="F4" s="22" t="s">
        <v>16</v>
      </c>
      <c r="G4" s="68">
        <f>E4/Dashboard!$M$7</f>
        <v>0.1156483827</v>
      </c>
      <c r="H4" s="17" t="str">
        <f t="shared" si="1"/>
        <v>January 2025</v>
      </c>
      <c r="I4" s="17"/>
      <c r="J4" s="69">
        <v>45659.0</v>
      </c>
      <c r="K4" s="70">
        <v>1300000.0</v>
      </c>
      <c r="L4" s="22" t="s">
        <v>8</v>
      </c>
      <c r="M4" s="68">
        <f>K4/Dashboard!$M$7</f>
        <v>0.1503428975</v>
      </c>
      <c r="N4" s="17" t="str">
        <f t="shared" si="2"/>
        <v>January 2025</v>
      </c>
    </row>
    <row r="5" ht="18.75" customHeight="1">
      <c r="A5" s="66">
        <v>45660.0</v>
      </c>
      <c r="B5" s="22" t="s">
        <v>30</v>
      </c>
      <c r="E5" s="67">
        <v>1300000.0</v>
      </c>
      <c r="F5" s="22" t="s">
        <v>16</v>
      </c>
      <c r="G5" s="68">
        <f>E5/Dashboard!$M$7</f>
        <v>0.1503428975</v>
      </c>
      <c r="H5" s="17" t="str">
        <f t="shared" si="1"/>
        <v>January 2025</v>
      </c>
      <c r="I5" s="17"/>
      <c r="J5" s="69">
        <v>45660.0</v>
      </c>
      <c r="K5" s="70">
        <v>1000000.0</v>
      </c>
      <c r="L5" s="22" t="s">
        <v>10</v>
      </c>
      <c r="M5" s="68">
        <f>K5/Dashboard!$M$7</f>
        <v>0.1156483827</v>
      </c>
      <c r="N5" s="17" t="str">
        <f t="shared" si="2"/>
        <v>January 2025</v>
      </c>
    </row>
    <row r="6" ht="18.75" customHeight="1">
      <c r="A6" s="66">
        <v>45661.0</v>
      </c>
      <c r="B6" s="22" t="s">
        <v>31</v>
      </c>
      <c r="E6" s="70">
        <v>300000.0</v>
      </c>
      <c r="F6" s="22" t="s">
        <v>16</v>
      </c>
      <c r="G6" s="68">
        <f>E6/Dashboard!$M$7</f>
        <v>0.0346945148</v>
      </c>
      <c r="H6" s="17" t="str">
        <f t="shared" si="1"/>
        <v>January 2025</v>
      </c>
      <c r="I6" s="17"/>
      <c r="J6" s="69">
        <v>45661.0</v>
      </c>
      <c r="K6" s="70">
        <v>300000.0</v>
      </c>
      <c r="L6" s="22" t="s">
        <v>12</v>
      </c>
      <c r="M6" s="68">
        <f>K6/Dashboard!$M$7</f>
        <v>0.0346945148</v>
      </c>
      <c r="N6" s="17" t="str">
        <f t="shared" si="2"/>
        <v>January 2025</v>
      </c>
      <c r="O6" s="17"/>
      <c r="P6" s="17"/>
      <c r="Q6" s="17"/>
    </row>
    <row r="7" ht="18.75" customHeight="1">
      <c r="A7" s="66">
        <v>45662.0</v>
      </c>
      <c r="B7" s="22" t="s">
        <v>32</v>
      </c>
      <c r="E7" s="70">
        <v>350000.0</v>
      </c>
      <c r="F7" s="22" t="s">
        <v>13</v>
      </c>
      <c r="G7" s="68">
        <f>E7/Dashboard!$M$7</f>
        <v>0.04047693393</v>
      </c>
      <c r="H7" s="17" t="str">
        <f t="shared" si="1"/>
        <v>January 2025</v>
      </c>
      <c r="I7" s="17"/>
      <c r="J7" s="69">
        <v>45662.0</v>
      </c>
      <c r="K7" s="70">
        <v>350000.0</v>
      </c>
      <c r="L7" s="22" t="s">
        <v>14</v>
      </c>
      <c r="M7" s="68">
        <f>K7/Dashboard!$M$7</f>
        <v>0.04047693393</v>
      </c>
      <c r="N7" s="17" t="str">
        <f t="shared" si="2"/>
        <v>January 2025</v>
      </c>
      <c r="O7" s="17"/>
      <c r="P7" s="17"/>
      <c r="Q7" s="17"/>
    </row>
    <row r="8" ht="15.75" customHeight="1">
      <c r="A8" s="66">
        <v>45663.0</v>
      </c>
      <c r="B8" s="22" t="s">
        <v>33</v>
      </c>
      <c r="E8" s="70">
        <v>350000.0</v>
      </c>
      <c r="F8" s="22" t="s">
        <v>18</v>
      </c>
      <c r="G8" s="68">
        <f>E8/Dashboard!$M$7</f>
        <v>0.04047693393</v>
      </c>
      <c r="H8" s="17" t="str">
        <f t="shared" si="1"/>
        <v>January 2025</v>
      </c>
      <c r="I8" s="17"/>
      <c r="J8" s="69">
        <v>45663.0</v>
      </c>
      <c r="K8" s="70">
        <v>350000.0</v>
      </c>
      <c r="L8" s="22" t="s">
        <v>17</v>
      </c>
      <c r="M8" s="68">
        <f>K8/Dashboard!$M$7</f>
        <v>0.04047693393</v>
      </c>
      <c r="N8" s="17" t="str">
        <f t="shared" si="2"/>
        <v>January 2025</v>
      </c>
      <c r="O8" s="8"/>
      <c r="P8" s="71"/>
      <c r="Q8" s="8"/>
    </row>
    <row r="9" ht="21.0" customHeight="1">
      <c r="A9" s="66">
        <v>45664.0</v>
      </c>
      <c r="B9" s="22" t="s">
        <v>34</v>
      </c>
      <c r="E9" s="70">
        <v>500000.0</v>
      </c>
      <c r="F9" s="22" t="s">
        <v>18</v>
      </c>
      <c r="G9" s="68">
        <f>E9/Dashboard!$M$7</f>
        <v>0.05782419133</v>
      </c>
      <c r="H9" s="17" t="str">
        <f t="shared" si="1"/>
        <v>January 2025</v>
      </c>
      <c r="I9" s="17"/>
      <c r="J9" s="69">
        <v>45664.0</v>
      </c>
      <c r="K9" s="70">
        <v>500000.0</v>
      </c>
      <c r="L9" s="22" t="s">
        <v>10</v>
      </c>
      <c r="M9" s="68">
        <f>K9/Dashboard!$M$7</f>
        <v>0.05782419133</v>
      </c>
      <c r="N9" s="17" t="str">
        <f t="shared" si="2"/>
        <v>January 2025</v>
      </c>
      <c r="P9" s="8"/>
      <c r="Q9" s="8"/>
    </row>
    <row r="10" ht="18.75" customHeight="1">
      <c r="A10" s="66">
        <v>45665.0</v>
      </c>
      <c r="B10" s="22" t="s">
        <v>35</v>
      </c>
      <c r="E10" s="72">
        <v>350000.0</v>
      </c>
      <c r="F10" s="22" t="s">
        <v>16</v>
      </c>
      <c r="G10" s="68">
        <f>E10/Dashboard!$M$7</f>
        <v>0.04047693393</v>
      </c>
      <c r="H10" s="17" t="str">
        <f t="shared" si="1"/>
        <v>January 2025</v>
      </c>
      <c r="I10" s="17"/>
      <c r="J10" s="69">
        <v>45665.0</v>
      </c>
      <c r="K10" s="72">
        <v>350000.0</v>
      </c>
      <c r="L10" s="22" t="s">
        <v>19</v>
      </c>
      <c r="M10" s="68">
        <f>K10/Dashboard!$M$7</f>
        <v>0.04047693393</v>
      </c>
      <c r="N10" s="17" t="str">
        <f t="shared" si="2"/>
        <v>January 2025</v>
      </c>
      <c r="P10" s="8"/>
      <c r="Q10" s="8"/>
    </row>
    <row r="11" ht="18.75" customHeight="1">
      <c r="A11" s="66">
        <v>45667.0</v>
      </c>
      <c r="B11" s="22" t="s">
        <v>36</v>
      </c>
      <c r="E11" s="73">
        <v>60000.0</v>
      </c>
      <c r="F11" s="22" t="s">
        <v>16</v>
      </c>
      <c r="G11" s="68">
        <f>E11/Dashboard!$M$7</f>
        <v>0.006938902959</v>
      </c>
      <c r="H11" s="17" t="str">
        <f t="shared" si="1"/>
        <v>January 2025</v>
      </c>
      <c r="I11" s="17"/>
      <c r="J11" s="69">
        <v>45689.0</v>
      </c>
      <c r="K11" s="74">
        <v>2000000.0</v>
      </c>
      <c r="L11" s="22" t="s">
        <v>8</v>
      </c>
      <c r="M11" s="68">
        <f>K11/Dashboard!$M$7</f>
        <v>0.2312967653</v>
      </c>
      <c r="N11" s="17" t="str">
        <f t="shared" si="2"/>
        <v>February 2025</v>
      </c>
      <c r="P11" s="8"/>
      <c r="Q11" s="8"/>
    </row>
    <row r="12" ht="18.75" customHeight="1">
      <c r="A12" s="66">
        <v>45668.0</v>
      </c>
      <c r="B12" s="22"/>
      <c r="E12" s="73">
        <v>500000.0</v>
      </c>
      <c r="F12" s="22" t="s">
        <v>13</v>
      </c>
      <c r="G12" s="68">
        <f>E12/Dashboard!$M$7</f>
        <v>0.05782419133</v>
      </c>
      <c r="H12" s="17" t="str">
        <f t="shared" si="1"/>
        <v>January 2025</v>
      </c>
      <c r="I12" s="17"/>
      <c r="J12" s="69">
        <v>45690.0</v>
      </c>
      <c r="K12" s="73">
        <v>1000000.0</v>
      </c>
      <c r="L12" s="22" t="s">
        <v>10</v>
      </c>
      <c r="M12" s="68">
        <f>K12/Dashboard!$M$7</f>
        <v>0.1156483827</v>
      </c>
      <c r="N12" s="17" t="str">
        <f t="shared" si="2"/>
        <v>February 2025</v>
      </c>
      <c r="P12" s="8"/>
      <c r="Q12" s="8"/>
    </row>
    <row r="13" ht="18.75" customHeight="1">
      <c r="A13" s="66">
        <v>45670.0</v>
      </c>
      <c r="B13" s="22" t="s">
        <v>37</v>
      </c>
      <c r="E13" s="73">
        <v>90000.0</v>
      </c>
      <c r="F13" s="22" t="s">
        <v>18</v>
      </c>
      <c r="G13" s="68">
        <f>E13/Dashboard!$M$7</f>
        <v>0.01040835444</v>
      </c>
      <c r="H13" s="17" t="str">
        <f t="shared" si="1"/>
        <v>January 2025</v>
      </c>
      <c r="I13" s="17"/>
      <c r="J13" s="69">
        <v>45696.0</v>
      </c>
      <c r="K13" s="73">
        <v>70000.0</v>
      </c>
      <c r="L13" s="22" t="s">
        <v>12</v>
      </c>
      <c r="M13" s="68">
        <f>K13/Dashboard!$M$7</f>
        <v>0.008095386786</v>
      </c>
      <c r="N13" s="17" t="str">
        <f t="shared" si="2"/>
        <v>February 2025</v>
      </c>
      <c r="P13" s="8"/>
      <c r="Q13" s="8"/>
    </row>
    <row r="14" ht="18.75" customHeight="1">
      <c r="A14" s="66">
        <v>45671.0</v>
      </c>
      <c r="B14" s="22" t="s">
        <v>38</v>
      </c>
      <c r="E14" s="73">
        <v>90000.0</v>
      </c>
      <c r="F14" s="22" t="s">
        <v>13</v>
      </c>
      <c r="G14" s="68">
        <f>E14/Dashboard!$M$7</f>
        <v>0.01040835444</v>
      </c>
      <c r="H14" s="17" t="str">
        <f t="shared" si="1"/>
        <v>January 2025</v>
      </c>
      <c r="I14" s="17"/>
      <c r="J14" s="69">
        <v>45698.0</v>
      </c>
      <c r="K14" s="73">
        <v>250000.0</v>
      </c>
      <c r="L14" s="22" t="s">
        <v>12</v>
      </c>
      <c r="M14" s="68">
        <f>K14/Dashboard!$M$7</f>
        <v>0.02891209566</v>
      </c>
      <c r="N14" s="17" t="str">
        <f t="shared" si="2"/>
        <v>February 2025</v>
      </c>
      <c r="P14" s="8"/>
      <c r="Q14" s="8"/>
    </row>
    <row r="15" ht="18.75" customHeight="1">
      <c r="A15" s="66">
        <v>45673.0</v>
      </c>
      <c r="B15" s="22" t="s">
        <v>38</v>
      </c>
      <c r="E15" s="73">
        <v>60000.0</v>
      </c>
      <c r="F15" s="22" t="s">
        <v>13</v>
      </c>
      <c r="G15" s="68">
        <f>E15/Dashboard!$M$7</f>
        <v>0.006938902959</v>
      </c>
      <c r="H15" s="17" t="str">
        <f t="shared" si="1"/>
        <v>January 2025</v>
      </c>
      <c r="I15" s="8"/>
      <c r="J15" s="69">
        <v>45711.0</v>
      </c>
      <c r="K15" s="73">
        <v>950000.0</v>
      </c>
      <c r="L15" s="22" t="s">
        <v>10</v>
      </c>
      <c r="M15" s="68">
        <f>K15/Dashboard!$M$7</f>
        <v>0.1098659635</v>
      </c>
      <c r="N15" s="17" t="str">
        <f t="shared" si="2"/>
        <v>February 2025</v>
      </c>
      <c r="P15" s="8"/>
      <c r="Q15" s="8"/>
    </row>
    <row r="16" ht="18.75" customHeight="1">
      <c r="A16" s="66">
        <v>45675.0</v>
      </c>
      <c r="B16" s="22" t="s">
        <v>38</v>
      </c>
      <c r="E16" s="73">
        <v>800000.0</v>
      </c>
      <c r="F16" s="22" t="s">
        <v>16</v>
      </c>
      <c r="G16" s="68">
        <f>E16/Dashboard!$M$7</f>
        <v>0.09251870613</v>
      </c>
      <c r="H16" s="17" t="str">
        <f t="shared" si="1"/>
        <v>January 2025</v>
      </c>
      <c r="I16" s="8"/>
      <c r="J16" s="17"/>
      <c r="K16" s="75"/>
      <c r="L16" s="17"/>
      <c r="M16" s="68">
        <f>K16/Dashboard!$M$7</f>
        <v>0</v>
      </c>
      <c r="N16" s="17" t="str">
        <f t="shared" si="2"/>
        <v/>
      </c>
    </row>
    <row r="17" ht="18.75" customHeight="1">
      <c r="A17" s="66">
        <v>45680.0</v>
      </c>
      <c r="B17" s="17"/>
      <c r="E17" s="73">
        <v>8900.0</v>
      </c>
      <c r="F17" s="22" t="s">
        <v>13</v>
      </c>
      <c r="G17" s="68">
        <f>E17/Dashboard!$M$7</f>
        <v>0.001029270606</v>
      </c>
      <c r="H17" s="17" t="str">
        <f t="shared" si="1"/>
        <v>January 2025</v>
      </c>
      <c r="I17" s="8"/>
      <c r="J17" s="17"/>
      <c r="K17" s="75"/>
      <c r="L17" s="17"/>
      <c r="M17" s="68">
        <f>K17/Dashboard!$M$7</f>
        <v>0</v>
      </c>
      <c r="N17" s="17" t="str">
        <f t="shared" si="2"/>
        <v/>
      </c>
    </row>
    <row r="18" ht="18.75" customHeight="1">
      <c r="A18" s="66">
        <v>45689.0</v>
      </c>
      <c r="B18" s="22" t="s">
        <v>28</v>
      </c>
      <c r="E18" s="74">
        <v>100000.0</v>
      </c>
      <c r="F18" s="22" t="s">
        <v>13</v>
      </c>
      <c r="G18" s="68">
        <f>E18/Dashboard!$M$7</f>
        <v>0.01156483827</v>
      </c>
      <c r="H18" s="17" t="str">
        <f t="shared" si="1"/>
        <v>February 2025</v>
      </c>
      <c r="I18" s="8"/>
      <c r="J18" s="17"/>
      <c r="K18" s="75"/>
      <c r="L18" s="17"/>
      <c r="M18" s="68">
        <f>K18/Dashboard!$M$7</f>
        <v>0</v>
      </c>
      <c r="N18" s="17" t="str">
        <f t="shared" si="2"/>
        <v/>
      </c>
    </row>
    <row r="19" ht="18.75" customHeight="1">
      <c r="A19" s="66">
        <v>45690.0</v>
      </c>
      <c r="B19" s="22" t="s">
        <v>39</v>
      </c>
      <c r="E19" s="73">
        <v>780000.0</v>
      </c>
      <c r="F19" s="22" t="s">
        <v>18</v>
      </c>
      <c r="G19" s="68">
        <f>E19/Dashboard!$M$7</f>
        <v>0.09020573847</v>
      </c>
      <c r="H19" s="17" t="str">
        <f t="shared" si="1"/>
        <v>February 2025</v>
      </c>
      <c r="I19" s="8"/>
      <c r="J19" s="17"/>
      <c r="K19" s="75"/>
      <c r="L19" s="17"/>
      <c r="M19" s="68">
        <f>K19/Dashboard!$M$7</f>
        <v>0</v>
      </c>
      <c r="N19" s="17" t="str">
        <f t="shared" si="2"/>
        <v/>
      </c>
    </row>
    <row r="20">
      <c r="A20" s="66">
        <v>45691.0</v>
      </c>
      <c r="B20" s="22" t="s">
        <v>29</v>
      </c>
      <c r="E20" s="73">
        <v>1000000.0</v>
      </c>
      <c r="F20" s="22" t="s">
        <v>16</v>
      </c>
      <c r="G20" s="68">
        <f>E20/Dashboard!$M$7</f>
        <v>0.1156483827</v>
      </c>
      <c r="H20" s="17" t="str">
        <f t="shared" si="1"/>
        <v>February 2025</v>
      </c>
      <c r="I20" s="8"/>
      <c r="J20" s="17"/>
      <c r="K20" s="75"/>
      <c r="L20" s="17"/>
      <c r="M20" s="68">
        <f>K20/Dashboard!$M$7</f>
        <v>0</v>
      </c>
      <c r="N20" s="17" t="str">
        <f t="shared" si="2"/>
        <v/>
      </c>
      <c r="O20" s="17"/>
      <c r="P20" s="17"/>
      <c r="Q20" s="17"/>
    </row>
    <row r="21">
      <c r="A21" s="66">
        <v>45702.0</v>
      </c>
      <c r="B21" s="22" t="s">
        <v>40</v>
      </c>
      <c r="E21" s="73">
        <v>400000.0</v>
      </c>
      <c r="F21" s="22" t="s">
        <v>16</v>
      </c>
      <c r="G21" s="68">
        <f>E21/Dashboard!$M$7</f>
        <v>0.04625935306</v>
      </c>
      <c r="H21" s="17" t="str">
        <f t="shared" si="1"/>
        <v>February 2025</v>
      </c>
      <c r="I21" s="8"/>
      <c r="J21" s="17"/>
      <c r="K21" s="75"/>
      <c r="L21" s="17"/>
      <c r="M21" s="68">
        <f>K21/Dashboard!$M$7</f>
        <v>0</v>
      </c>
      <c r="N21" s="17" t="str">
        <f t="shared" si="2"/>
        <v/>
      </c>
      <c r="O21" s="8"/>
      <c r="P21" s="8"/>
      <c r="Q21" s="8"/>
    </row>
    <row r="22">
      <c r="A22" s="66">
        <v>45703.0</v>
      </c>
      <c r="B22" s="22" t="s">
        <v>41</v>
      </c>
      <c r="E22" s="73">
        <v>500000.0</v>
      </c>
      <c r="F22" s="22" t="s">
        <v>16</v>
      </c>
      <c r="G22" s="68">
        <f>E22/Dashboard!$M$7</f>
        <v>0.05782419133</v>
      </c>
      <c r="H22" s="17" t="str">
        <f t="shared" si="1"/>
        <v>February 2025</v>
      </c>
      <c r="I22" s="8"/>
      <c r="J22" s="17"/>
      <c r="K22" s="75"/>
      <c r="L22" s="17"/>
      <c r="M22" s="68">
        <f>K22/Dashboard!$M$7</f>
        <v>0</v>
      </c>
      <c r="N22" s="17" t="str">
        <f t="shared" si="2"/>
        <v/>
      </c>
      <c r="O22" s="8"/>
      <c r="P22" s="8"/>
      <c r="Q22" s="8"/>
    </row>
    <row r="23">
      <c r="A23" s="66">
        <v>45732.0</v>
      </c>
      <c r="B23" s="22" t="s">
        <v>38</v>
      </c>
      <c r="E23" s="73">
        <v>8000.0</v>
      </c>
      <c r="F23" s="22" t="s">
        <v>18</v>
      </c>
      <c r="G23" s="68">
        <f>E23/Dashboard!$M$7</f>
        <v>0.0009251870613</v>
      </c>
      <c r="H23" s="17" t="str">
        <f t="shared" si="1"/>
        <v>March 2025</v>
      </c>
      <c r="I23" s="8"/>
      <c r="J23" s="17"/>
      <c r="K23" s="75"/>
      <c r="L23" s="17"/>
      <c r="M23" s="68">
        <f>K23/Dashboard!$M$7</f>
        <v>0</v>
      </c>
      <c r="N23" s="17" t="str">
        <f t="shared" si="2"/>
        <v/>
      </c>
      <c r="O23" s="8"/>
      <c r="P23" s="8"/>
      <c r="Q23" s="8"/>
    </row>
    <row r="24">
      <c r="A24" s="76"/>
      <c r="B24" s="17"/>
      <c r="E24" s="75"/>
      <c r="F24" s="17"/>
      <c r="G24" s="68">
        <f>E24/Dashboard!$M$7</f>
        <v>0</v>
      </c>
      <c r="H24" s="17" t="str">
        <f t="shared" si="1"/>
        <v/>
      </c>
      <c r="I24" s="8"/>
      <c r="J24" s="17"/>
      <c r="K24" s="75"/>
      <c r="L24" s="17"/>
      <c r="M24" s="68">
        <f>K24/Dashboard!$M$7</f>
        <v>0</v>
      </c>
      <c r="N24" s="17" t="str">
        <f t="shared" si="2"/>
        <v/>
      </c>
      <c r="O24" s="8"/>
      <c r="P24" s="8"/>
      <c r="Q24" s="8"/>
    </row>
    <row r="25">
      <c r="A25" s="76"/>
      <c r="B25" s="17"/>
      <c r="E25" s="75"/>
      <c r="F25" s="17"/>
      <c r="G25" s="68">
        <f>E25/Dashboard!$M$7</f>
        <v>0</v>
      </c>
      <c r="H25" s="17" t="str">
        <f t="shared" si="1"/>
        <v/>
      </c>
      <c r="I25" s="8"/>
      <c r="J25" s="17"/>
      <c r="K25" s="75"/>
      <c r="L25" s="17"/>
      <c r="M25" s="68">
        <f>K25/Dashboard!$M$7</f>
        <v>0</v>
      </c>
      <c r="N25" s="17" t="str">
        <f t="shared" si="2"/>
        <v/>
      </c>
      <c r="O25" s="8"/>
      <c r="P25" s="8"/>
      <c r="Q25" s="8"/>
    </row>
    <row r="26">
      <c r="A26" s="76"/>
      <c r="B26" s="17"/>
      <c r="E26" s="75"/>
      <c r="F26" s="17"/>
      <c r="G26" s="68">
        <f>E26/Dashboard!$M$7</f>
        <v>0</v>
      </c>
      <c r="H26" s="17" t="str">
        <f t="shared" si="1"/>
        <v/>
      </c>
      <c r="I26" s="8"/>
      <c r="J26" s="17"/>
      <c r="K26" s="75"/>
      <c r="L26" s="17"/>
      <c r="M26" s="68">
        <f>K26/Dashboard!$M$7</f>
        <v>0</v>
      </c>
      <c r="N26" s="17" t="str">
        <f t="shared" si="2"/>
        <v/>
      </c>
      <c r="O26" s="8"/>
      <c r="P26" s="8"/>
      <c r="Q26" s="8"/>
    </row>
    <row r="27">
      <c r="A27" s="76"/>
      <c r="B27" s="17"/>
      <c r="E27" s="75"/>
      <c r="F27" s="17"/>
      <c r="G27" s="68">
        <f>E27/Dashboard!$M$7</f>
        <v>0</v>
      </c>
      <c r="H27" s="17" t="str">
        <f t="shared" si="1"/>
        <v/>
      </c>
      <c r="I27" s="8"/>
      <c r="J27" s="17"/>
      <c r="K27" s="75"/>
      <c r="L27" s="17"/>
      <c r="M27" s="68">
        <f>K27/Dashboard!$M$7</f>
        <v>0</v>
      </c>
      <c r="N27" s="17" t="str">
        <f t="shared" si="2"/>
        <v/>
      </c>
      <c r="O27" s="8"/>
      <c r="P27" s="8"/>
      <c r="Q27" s="8"/>
    </row>
    <row r="28">
      <c r="A28" s="76"/>
      <c r="B28" s="17"/>
      <c r="E28" s="75"/>
      <c r="F28" s="17"/>
      <c r="G28" s="68">
        <f>E28/Dashboard!$M$7</f>
        <v>0</v>
      </c>
      <c r="H28" s="17" t="str">
        <f t="shared" si="1"/>
        <v/>
      </c>
      <c r="I28" s="8"/>
      <c r="J28" s="17"/>
      <c r="K28" s="75"/>
      <c r="L28" s="17"/>
      <c r="M28" s="68">
        <f>K28/Dashboard!$M$7</f>
        <v>0</v>
      </c>
      <c r="N28" s="17" t="str">
        <f t="shared" si="2"/>
        <v/>
      </c>
      <c r="O28" s="8"/>
      <c r="P28" s="8"/>
      <c r="Q28" s="8"/>
    </row>
    <row r="29">
      <c r="A29" s="76"/>
      <c r="B29" s="17"/>
      <c r="E29" s="75"/>
      <c r="F29" s="17"/>
      <c r="G29" s="68">
        <f>E29/Dashboard!$M$7</f>
        <v>0</v>
      </c>
      <c r="H29" s="17" t="str">
        <f t="shared" si="1"/>
        <v/>
      </c>
      <c r="I29" s="8"/>
      <c r="J29" s="17"/>
      <c r="K29" s="75"/>
      <c r="L29" s="17"/>
      <c r="M29" s="68">
        <f>K29/Dashboard!$M$7</f>
        <v>0</v>
      </c>
      <c r="N29" s="17" t="str">
        <f t="shared" si="2"/>
        <v/>
      </c>
      <c r="O29" s="8"/>
      <c r="P29" s="8"/>
      <c r="Q29" s="8"/>
    </row>
    <row r="30">
      <c r="A30" s="76"/>
      <c r="B30" s="17"/>
      <c r="E30" s="75"/>
      <c r="F30" s="17"/>
      <c r="G30" s="68">
        <f>E30/Dashboard!$M$7</f>
        <v>0</v>
      </c>
      <c r="H30" s="17" t="str">
        <f t="shared" si="1"/>
        <v/>
      </c>
      <c r="I30" s="8"/>
      <c r="J30" s="17"/>
      <c r="K30" s="75"/>
      <c r="L30" s="17"/>
      <c r="M30" s="68">
        <f>K30/Dashboard!$M$7</f>
        <v>0</v>
      </c>
      <c r="N30" s="17" t="str">
        <f t="shared" si="2"/>
        <v/>
      </c>
      <c r="O30" s="8"/>
      <c r="P30" s="8"/>
      <c r="Q30" s="8"/>
    </row>
    <row r="31">
      <c r="A31" s="76"/>
      <c r="B31" s="17"/>
      <c r="E31" s="75"/>
      <c r="F31" s="17"/>
      <c r="G31" s="68">
        <f>E31/Dashboard!$M$7</f>
        <v>0</v>
      </c>
      <c r="H31" s="17" t="str">
        <f t="shared" si="1"/>
        <v/>
      </c>
      <c r="I31" s="8"/>
      <c r="J31" s="17"/>
      <c r="K31" s="75"/>
      <c r="L31" s="17"/>
      <c r="M31" s="68">
        <f>K31/Dashboard!$M$7</f>
        <v>0</v>
      </c>
      <c r="N31" s="17" t="str">
        <f t="shared" si="2"/>
        <v/>
      </c>
      <c r="O31" s="8"/>
      <c r="P31" s="8"/>
      <c r="Q31" s="8"/>
    </row>
    <row r="32">
      <c r="A32" s="76"/>
      <c r="B32" s="17"/>
      <c r="E32" s="75"/>
      <c r="F32" s="17"/>
      <c r="G32" s="68">
        <f>E32/Dashboard!$M$7</f>
        <v>0</v>
      </c>
      <c r="H32" s="17" t="str">
        <f t="shared" si="1"/>
        <v/>
      </c>
      <c r="I32" s="8"/>
      <c r="J32" s="17"/>
      <c r="K32" s="75"/>
      <c r="L32" s="17"/>
      <c r="M32" s="68">
        <f>K32/Dashboard!$M$7</f>
        <v>0</v>
      </c>
      <c r="N32" s="17" t="str">
        <f t="shared" si="2"/>
        <v/>
      </c>
      <c r="O32" s="8"/>
      <c r="P32" s="8"/>
      <c r="Q32" s="8"/>
    </row>
    <row r="33">
      <c r="A33" s="76"/>
      <c r="B33" s="17"/>
      <c r="E33" s="75"/>
      <c r="F33" s="17"/>
      <c r="G33" s="68">
        <f>E33/Dashboard!$M$7</f>
        <v>0</v>
      </c>
      <c r="H33" s="17" t="str">
        <f t="shared" si="1"/>
        <v/>
      </c>
      <c r="I33" s="8"/>
      <c r="J33" s="17"/>
      <c r="K33" s="75"/>
      <c r="L33" s="17"/>
      <c r="M33" s="68">
        <f>K33/Dashboard!$M$7</f>
        <v>0</v>
      </c>
      <c r="N33" s="17" t="str">
        <f t="shared" si="2"/>
        <v/>
      </c>
      <c r="O33" s="8"/>
      <c r="P33" s="8"/>
      <c r="Q33" s="8"/>
    </row>
    <row r="34">
      <c r="A34" s="76"/>
      <c r="B34" s="17"/>
      <c r="E34" s="75"/>
      <c r="F34" s="17"/>
      <c r="G34" s="68">
        <f>E34/Dashboard!$M$7</f>
        <v>0</v>
      </c>
      <c r="H34" s="17" t="str">
        <f t="shared" si="1"/>
        <v/>
      </c>
      <c r="I34" s="8"/>
      <c r="J34" s="17"/>
      <c r="K34" s="75"/>
      <c r="L34" s="17"/>
      <c r="M34" s="68">
        <f>K34/Dashboard!$M$7</f>
        <v>0</v>
      </c>
      <c r="N34" s="17" t="str">
        <f t="shared" si="2"/>
        <v/>
      </c>
      <c r="O34" s="8"/>
      <c r="P34" s="8"/>
      <c r="Q34" s="8"/>
    </row>
    <row r="35">
      <c r="A35" s="76"/>
      <c r="B35" s="17"/>
      <c r="E35" s="75"/>
      <c r="F35" s="17"/>
      <c r="G35" s="68">
        <f>E35/Dashboard!$M$7</f>
        <v>0</v>
      </c>
      <c r="H35" s="17" t="str">
        <f t="shared" si="1"/>
        <v/>
      </c>
      <c r="I35" s="8"/>
      <c r="J35" s="17"/>
      <c r="K35" s="75"/>
      <c r="L35" s="17"/>
      <c r="M35" s="68">
        <f>K35/Dashboard!$M$7</f>
        <v>0</v>
      </c>
      <c r="N35" s="17" t="str">
        <f t="shared" si="2"/>
        <v/>
      </c>
      <c r="O35" s="8"/>
      <c r="P35" s="8"/>
      <c r="Q35" s="8"/>
    </row>
    <row r="36">
      <c r="A36" s="76"/>
      <c r="B36" s="17"/>
      <c r="E36" s="75"/>
      <c r="F36" s="17"/>
      <c r="G36" s="68">
        <f>E36/Dashboard!$M$7</f>
        <v>0</v>
      </c>
      <c r="H36" s="17" t="str">
        <f t="shared" si="1"/>
        <v/>
      </c>
      <c r="I36" s="8"/>
      <c r="J36" s="17"/>
      <c r="K36" s="75"/>
      <c r="L36" s="17"/>
      <c r="M36" s="68">
        <f>K36/Dashboard!$M$7</f>
        <v>0</v>
      </c>
      <c r="N36" s="17" t="str">
        <f t="shared" si="2"/>
        <v/>
      </c>
      <c r="O36" s="8"/>
      <c r="P36" s="8"/>
      <c r="Q36" s="8"/>
    </row>
    <row r="37">
      <c r="A37" s="76"/>
      <c r="B37" s="17"/>
      <c r="E37" s="75"/>
      <c r="F37" s="17"/>
      <c r="G37" s="68">
        <f>E37/Dashboard!$M$7</f>
        <v>0</v>
      </c>
      <c r="H37" s="17" t="str">
        <f t="shared" si="1"/>
        <v/>
      </c>
      <c r="I37" s="8"/>
      <c r="J37" s="17"/>
      <c r="K37" s="75"/>
      <c r="L37" s="17"/>
      <c r="M37" s="68">
        <f>K37/Dashboard!$M$7</f>
        <v>0</v>
      </c>
      <c r="N37" s="17" t="str">
        <f t="shared" si="2"/>
        <v/>
      </c>
      <c r="O37" s="8"/>
      <c r="P37" s="8"/>
      <c r="Q37" s="8"/>
    </row>
    <row r="38">
      <c r="A38" s="76"/>
      <c r="B38" s="17"/>
      <c r="E38" s="75"/>
      <c r="F38" s="17"/>
      <c r="G38" s="68">
        <f>E38/Dashboard!$M$7</f>
        <v>0</v>
      </c>
      <c r="H38" s="17" t="str">
        <f t="shared" si="1"/>
        <v/>
      </c>
      <c r="I38" s="8"/>
      <c r="J38" s="17"/>
      <c r="K38" s="75"/>
      <c r="L38" s="17"/>
      <c r="M38" s="68">
        <f>K38/Dashboard!$M$7</f>
        <v>0</v>
      </c>
      <c r="N38" s="17" t="str">
        <f t="shared" si="2"/>
        <v/>
      </c>
      <c r="O38" s="8"/>
      <c r="P38" s="8"/>
      <c r="Q38" s="8"/>
    </row>
    <row r="39">
      <c r="A39" s="76"/>
      <c r="B39" s="17"/>
      <c r="E39" s="75"/>
      <c r="F39" s="17"/>
      <c r="G39" s="68">
        <f>E39/Dashboard!$M$7</f>
        <v>0</v>
      </c>
      <c r="H39" s="17" t="str">
        <f t="shared" si="1"/>
        <v/>
      </c>
      <c r="I39" s="8"/>
      <c r="J39" s="17"/>
      <c r="K39" s="75"/>
      <c r="L39" s="17"/>
      <c r="M39" s="68">
        <f>K39/Dashboard!$M$7</f>
        <v>0</v>
      </c>
      <c r="N39" s="17" t="str">
        <f t="shared" si="2"/>
        <v/>
      </c>
      <c r="O39" s="8"/>
      <c r="P39" s="8"/>
      <c r="Q39" s="8"/>
    </row>
    <row r="40">
      <c r="A40" s="76"/>
      <c r="B40" s="17"/>
      <c r="E40" s="75"/>
      <c r="F40" s="17"/>
      <c r="G40" s="68">
        <f>E40/Dashboard!$M$7</f>
        <v>0</v>
      </c>
      <c r="H40" s="17" t="str">
        <f t="shared" si="1"/>
        <v/>
      </c>
      <c r="I40" s="8"/>
      <c r="J40" s="17"/>
      <c r="K40" s="75"/>
      <c r="L40" s="17"/>
      <c r="M40" s="68">
        <f>K40/Dashboard!$M$7</f>
        <v>0</v>
      </c>
      <c r="N40" s="17" t="str">
        <f t="shared" si="2"/>
        <v/>
      </c>
      <c r="O40" s="8"/>
      <c r="P40" s="8"/>
      <c r="Q40" s="8"/>
    </row>
    <row r="41">
      <c r="A41" s="76"/>
      <c r="B41" s="17"/>
      <c r="E41" s="75"/>
      <c r="F41" s="17"/>
      <c r="G41" s="68">
        <f>E41/Dashboard!$M$7</f>
        <v>0</v>
      </c>
      <c r="H41" s="17" t="str">
        <f t="shared" si="1"/>
        <v/>
      </c>
      <c r="I41" s="8"/>
      <c r="J41" s="17"/>
      <c r="K41" s="75"/>
      <c r="L41" s="17"/>
      <c r="M41" s="68">
        <f>K41/Dashboard!$M$7</f>
        <v>0</v>
      </c>
      <c r="N41" s="17" t="str">
        <f t="shared" si="2"/>
        <v/>
      </c>
      <c r="O41" s="8"/>
      <c r="P41" s="8"/>
      <c r="Q41" s="8"/>
    </row>
    <row r="42">
      <c r="A42" s="76"/>
      <c r="B42" s="17"/>
      <c r="E42" s="75"/>
      <c r="F42" s="17"/>
      <c r="G42" s="68">
        <f>E42/Dashboard!$M$7</f>
        <v>0</v>
      </c>
      <c r="H42" s="17" t="str">
        <f t="shared" si="1"/>
        <v/>
      </c>
      <c r="I42" s="8"/>
      <c r="J42" s="17"/>
      <c r="K42" s="75"/>
      <c r="L42" s="17"/>
      <c r="M42" s="68">
        <f>K42/Dashboard!$M$7</f>
        <v>0</v>
      </c>
      <c r="N42" s="17" t="str">
        <f t="shared" si="2"/>
        <v/>
      </c>
      <c r="O42" s="8"/>
      <c r="P42" s="8"/>
      <c r="Q42" s="8"/>
    </row>
    <row r="43">
      <c r="A43" s="76"/>
      <c r="B43" s="17"/>
      <c r="E43" s="75"/>
      <c r="F43" s="17"/>
      <c r="G43" s="68">
        <f>E43/Dashboard!$M$7</f>
        <v>0</v>
      </c>
      <c r="H43" s="17" t="str">
        <f t="shared" si="1"/>
        <v/>
      </c>
      <c r="I43" s="8"/>
      <c r="J43" s="17"/>
      <c r="K43" s="75"/>
      <c r="L43" s="17"/>
      <c r="M43" s="68">
        <f>K43/Dashboard!$M$7</f>
        <v>0</v>
      </c>
      <c r="N43" s="17" t="str">
        <f t="shared" si="2"/>
        <v/>
      </c>
      <c r="O43" s="8"/>
      <c r="P43" s="8"/>
      <c r="Q43" s="8"/>
    </row>
    <row r="44">
      <c r="A44" s="76"/>
      <c r="B44" s="17"/>
      <c r="E44" s="75"/>
      <c r="F44" s="17"/>
      <c r="G44" s="68">
        <f>E44/Dashboard!$M$7</f>
        <v>0</v>
      </c>
      <c r="H44" s="17" t="str">
        <f t="shared" si="1"/>
        <v/>
      </c>
      <c r="I44" s="8"/>
      <c r="J44" s="17"/>
      <c r="K44" s="75"/>
      <c r="L44" s="17"/>
      <c r="M44" s="68">
        <f>K44/Dashboard!$M$7</f>
        <v>0</v>
      </c>
      <c r="N44" s="17" t="str">
        <f t="shared" si="2"/>
        <v/>
      </c>
      <c r="O44" s="8"/>
      <c r="P44" s="8"/>
      <c r="Q44" s="8"/>
    </row>
    <row r="45">
      <c r="A45" s="76"/>
      <c r="B45" s="17"/>
      <c r="E45" s="75"/>
      <c r="F45" s="17"/>
      <c r="G45" s="68">
        <f>E45/Dashboard!$M$7</f>
        <v>0</v>
      </c>
      <c r="H45" s="17" t="str">
        <f t="shared" si="1"/>
        <v/>
      </c>
      <c r="I45" s="8"/>
      <c r="J45" s="17"/>
      <c r="K45" s="75"/>
      <c r="L45" s="17"/>
      <c r="M45" s="68">
        <f>K45/Dashboard!$M$7</f>
        <v>0</v>
      </c>
      <c r="N45" s="17" t="str">
        <f t="shared" si="2"/>
        <v/>
      </c>
      <c r="O45" s="8"/>
      <c r="P45" s="8"/>
      <c r="Q45" s="8"/>
    </row>
    <row r="46">
      <c r="A46" s="76"/>
      <c r="B46" s="17"/>
      <c r="E46" s="75"/>
      <c r="F46" s="17"/>
      <c r="G46" s="68">
        <f>E46/Dashboard!$M$7</f>
        <v>0</v>
      </c>
      <c r="H46" s="17" t="str">
        <f t="shared" si="1"/>
        <v/>
      </c>
      <c r="I46" s="8"/>
      <c r="J46" s="17"/>
      <c r="K46" s="75"/>
      <c r="L46" s="17"/>
      <c r="M46" s="68">
        <f>K46/Dashboard!$M$7</f>
        <v>0</v>
      </c>
      <c r="N46" s="17" t="str">
        <f t="shared" si="2"/>
        <v/>
      </c>
      <c r="O46" s="8"/>
      <c r="P46" s="8"/>
      <c r="Q46" s="8"/>
    </row>
    <row r="47">
      <c r="A47" s="76"/>
      <c r="B47" s="17"/>
      <c r="E47" s="75"/>
      <c r="F47" s="17"/>
      <c r="G47" s="68">
        <f>E47/Dashboard!$M$7</f>
        <v>0</v>
      </c>
      <c r="H47" s="17" t="str">
        <f t="shared" si="1"/>
        <v/>
      </c>
      <c r="I47" s="8"/>
      <c r="J47" s="17"/>
      <c r="K47" s="75"/>
      <c r="L47" s="17"/>
      <c r="M47" s="68">
        <f>K47/Dashboard!$M$7</f>
        <v>0</v>
      </c>
      <c r="N47" s="17" t="str">
        <f t="shared" si="2"/>
        <v/>
      </c>
      <c r="O47" s="8"/>
      <c r="P47" s="8"/>
      <c r="Q47" s="8"/>
    </row>
    <row r="48">
      <c r="A48" s="76"/>
      <c r="B48" s="17"/>
      <c r="E48" s="75"/>
      <c r="F48" s="17"/>
      <c r="G48" s="68">
        <f>E48/Dashboard!$M$7</f>
        <v>0</v>
      </c>
      <c r="H48" s="17" t="str">
        <f t="shared" si="1"/>
        <v/>
      </c>
      <c r="I48" s="8"/>
      <c r="J48" s="17"/>
      <c r="K48" s="75"/>
      <c r="L48" s="17"/>
      <c r="M48" s="68">
        <f>K48/Dashboard!$M$7</f>
        <v>0</v>
      </c>
      <c r="N48" s="17" t="str">
        <f t="shared" si="2"/>
        <v/>
      </c>
      <c r="O48" s="8"/>
      <c r="P48" s="8"/>
      <c r="Q48" s="8"/>
    </row>
    <row r="49">
      <c r="A49" s="76"/>
      <c r="B49" s="17"/>
      <c r="E49" s="75"/>
      <c r="F49" s="17"/>
      <c r="G49" s="68">
        <f>E49/Dashboard!$M$7</f>
        <v>0</v>
      </c>
      <c r="H49" s="17" t="str">
        <f t="shared" si="1"/>
        <v/>
      </c>
      <c r="I49" s="8"/>
      <c r="J49" s="17"/>
      <c r="K49" s="75"/>
      <c r="L49" s="17"/>
      <c r="M49" s="68">
        <f>K49/Dashboard!$M$7</f>
        <v>0</v>
      </c>
      <c r="N49" s="17" t="str">
        <f t="shared" si="2"/>
        <v/>
      </c>
      <c r="O49" s="8"/>
      <c r="P49" s="8"/>
      <c r="Q49" s="8"/>
    </row>
    <row r="50">
      <c r="A50" s="76"/>
      <c r="B50" s="17"/>
      <c r="E50" s="75"/>
      <c r="F50" s="17"/>
      <c r="G50" s="68">
        <f>E50/Dashboard!$M$7</f>
        <v>0</v>
      </c>
      <c r="H50" s="17" t="str">
        <f t="shared" si="1"/>
        <v/>
      </c>
      <c r="I50" s="8"/>
      <c r="J50" s="17"/>
      <c r="K50" s="75"/>
      <c r="L50" s="17"/>
      <c r="M50" s="68">
        <f>K50/Dashboard!$M$7</f>
        <v>0</v>
      </c>
      <c r="N50" s="17" t="str">
        <f t="shared" si="2"/>
        <v/>
      </c>
      <c r="O50" s="8"/>
      <c r="P50" s="8"/>
      <c r="Q50" s="8"/>
    </row>
    <row r="51">
      <c r="A51" s="76"/>
      <c r="B51" s="17"/>
      <c r="E51" s="75"/>
      <c r="F51" s="17"/>
      <c r="G51" s="68">
        <f>E51/Dashboard!$M$7</f>
        <v>0</v>
      </c>
      <c r="H51" s="17" t="str">
        <f t="shared" si="1"/>
        <v/>
      </c>
      <c r="I51" s="8"/>
      <c r="J51" s="17"/>
      <c r="K51" s="75"/>
      <c r="L51" s="17"/>
      <c r="M51" s="68">
        <f>K51/Dashboard!$M$7</f>
        <v>0</v>
      </c>
      <c r="N51" s="17" t="str">
        <f t="shared" si="2"/>
        <v/>
      </c>
      <c r="O51" s="8"/>
      <c r="P51" s="8"/>
      <c r="Q51" s="8"/>
    </row>
    <row r="52">
      <c r="A52" s="76"/>
      <c r="B52" s="17"/>
      <c r="E52" s="75"/>
      <c r="F52" s="17"/>
      <c r="G52" s="68">
        <f>E52/Dashboard!$M$7</f>
        <v>0</v>
      </c>
      <c r="H52" s="17" t="str">
        <f t="shared" si="1"/>
        <v/>
      </c>
      <c r="I52" s="8"/>
      <c r="J52" s="17"/>
      <c r="K52" s="75"/>
      <c r="L52" s="17"/>
      <c r="M52" s="68">
        <f>K52/Dashboard!$M$7</f>
        <v>0</v>
      </c>
      <c r="N52" s="17" t="str">
        <f t="shared" si="2"/>
        <v/>
      </c>
      <c r="O52" s="8"/>
      <c r="P52" s="8"/>
      <c r="Q52" s="8"/>
    </row>
    <row r="53">
      <c r="A53" s="76"/>
      <c r="B53" s="17"/>
      <c r="E53" s="75"/>
      <c r="F53" s="17"/>
      <c r="G53" s="68">
        <f>E53/Dashboard!$M$7</f>
        <v>0</v>
      </c>
      <c r="H53" s="17" t="str">
        <f t="shared" si="1"/>
        <v/>
      </c>
      <c r="I53" s="8"/>
      <c r="J53" s="17"/>
      <c r="K53" s="75"/>
      <c r="L53" s="17"/>
      <c r="M53" s="68">
        <f>K53/Dashboard!$M$7</f>
        <v>0</v>
      </c>
      <c r="N53" s="17" t="str">
        <f t="shared" si="2"/>
        <v/>
      </c>
      <c r="O53" s="8"/>
      <c r="P53" s="8"/>
      <c r="Q53" s="8"/>
    </row>
    <row r="54">
      <c r="A54" s="76"/>
      <c r="B54" s="17"/>
      <c r="E54" s="75"/>
      <c r="F54" s="17"/>
      <c r="G54" s="68">
        <f>E54/Dashboard!$M$7</f>
        <v>0</v>
      </c>
      <c r="H54" s="17" t="str">
        <f t="shared" si="1"/>
        <v/>
      </c>
      <c r="I54" s="8"/>
      <c r="J54" s="17"/>
      <c r="K54" s="75"/>
      <c r="L54" s="17"/>
      <c r="M54" s="68">
        <f>K54/Dashboard!$M$7</f>
        <v>0</v>
      </c>
      <c r="N54" s="17" t="str">
        <f t="shared" si="2"/>
        <v/>
      </c>
      <c r="O54" s="8"/>
      <c r="P54" s="8"/>
      <c r="Q54" s="8"/>
    </row>
    <row r="55">
      <c r="A55" s="76"/>
      <c r="B55" s="17"/>
      <c r="E55" s="75"/>
      <c r="F55" s="17"/>
      <c r="G55" s="68">
        <f>E55/Dashboard!$M$7</f>
        <v>0</v>
      </c>
      <c r="H55" s="17" t="str">
        <f t="shared" si="1"/>
        <v/>
      </c>
      <c r="I55" s="8"/>
      <c r="J55" s="17"/>
      <c r="K55" s="75"/>
      <c r="L55" s="17"/>
      <c r="M55" s="68">
        <f>K55/Dashboard!$M$7</f>
        <v>0</v>
      </c>
      <c r="N55" s="17" t="str">
        <f t="shared" si="2"/>
        <v/>
      </c>
      <c r="O55" s="8"/>
      <c r="P55" s="8"/>
      <c r="Q55" s="8"/>
    </row>
    <row r="56">
      <c r="A56" s="76"/>
      <c r="B56" s="17"/>
      <c r="E56" s="75"/>
      <c r="F56" s="17"/>
      <c r="G56" s="68">
        <f>E56/Dashboard!$M$7</f>
        <v>0</v>
      </c>
      <c r="H56" s="17" t="str">
        <f t="shared" si="1"/>
        <v/>
      </c>
      <c r="I56" s="8"/>
      <c r="J56" s="17"/>
      <c r="K56" s="75"/>
      <c r="L56" s="17"/>
      <c r="M56" s="68">
        <f>K56/Dashboard!$M$7</f>
        <v>0</v>
      </c>
      <c r="N56" s="17" t="str">
        <f t="shared" si="2"/>
        <v/>
      </c>
      <c r="O56" s="8"/>
      <c r="P56" s="8"/>
      <c r="Q56" s="8"/>
    </row>
    <row r="57">
      <c r="A57" s="76"/>
      <c r="B57" s="17"/>
      <c r="E57" s="75"/>
      <c r="F57" s="17"/>
      <c r="G57" s="68">
        <f>E57/Dashboard!$M$7</f>
        <v>0</v>
      </c>
      <c r="H57" s="17" t="str">
        <f t="shared" si="1"/>
        <v/>
      </c>
      <c r="I57" s="8"/>
      <c r="J57" s="17"/>
      <c r="K57" s="75"/>
      <c r="L57" s="17"/>
      <c r="M57" s="68">
        <f>K57/Dashboard!$M$7</f>
        <v>0</v>
      </c>
      <c r="N57" s="17" t="str">
        <f t="shared" si="2"/>
        <v/>
      </c>
      <c r="O57" s="8"/>
      <c r="P57" s="8"/>
      <c r="Q57" s="8"/>
    </row>
    <row r="58">
      <c r="A58" s="76"/>
      <c r="B58" s="17"/>
      <c r="E58" s="75"/>
      <c r="F58" s="17"/>
      <c r="G58" s="68">
        <f>E58/Dashboard!$M$7</f>
        <v>0</v>
      </c>
      <c r="H58" s="17" t="str">
        <f t="shared" si="1"/>
        <v/>
      </c>
      <c r="I58" s="8"/>
      <c r="J58" s="17"/>
      <c r="K58" s="75"/>
      <c r="L58" s="17"/>
      <c r="M58" s="68">
        <f>K58/Dashboard!$M$7</f>
        <v>0</v>
      </c>
      <c r="N58" s="17" t="str">
        <f t="shared" si="2"/>
        <v/>
      </c>
      <c r="O58" s="8"/>
      <c r="P58" s="8"/>
      <c r="Q58" s="8"/>
    </row>
    <row r="59">
      <c r="A59" s="76"/>
      <c r="B59" s="17"/>
      <c r="E59" s="75"/>
      <c r="F59" s="17"/>
      <c r="G59" s="68">
        <f>E59/Dashboard!$M$7</f>
        <v>0</v>
      </c>
      <c r="H59" s="17" t="str">
        <f t="shared" si="1"/>
        <v/>
      </c>
      <c r="I59" s="8"/>
      <c r="J59" s="17"/>
      <c r="K59" s="75"/>
      <c r="L59" s="17"/>
      <c r="M59" s="68">
        <f>K59/Dashboard!$M$7</f>
        <v>0</v>
      </c>
      <c r="N59" s="17" t="str">
        <f t="shared" si="2"/>
        <v/>
      </c>
      <c r="O59" s="8"/>
      <c r="P59" s="8"/>
      <c r="Q59" s="8"/>
    </row>
    <row r="60">
      <c r="A60" s="76"/>
      <c r="B60" s="17"/>
      <c r="E60" s="75"/>
      <c r="F60" s="17"/>
      <c r="G60" s="68">
        <f>E60/Dashboard!$M$7</f>
        <v>0</v>
      </c>
      <c r="H60" s="17" t="str">
        <f t="shared" si="1"/>
        <v/>
      </c>
      <c r="I60" s="8"/>
      <c r="J60" s="17"/>
      <c r="K60" s="75"/>
      <c r="L60" s="17"/>
      <c r="M60" s="68">
        <f>K60/Dashboard!$M$7</f>
        <v>0</v>
      </c>
      <c r="N60" s="17" t="str">
        <f t="shared" si="2"/>
        <v/>
      </c>
      <c r="O60" s="8"/>
      <c r="P60" s="8"/>
      <c r="Q60" s="8"/>
    </row>
    <row r="61">
      <c r="A61" s="76"/>
      <c r="B61" s="17"/>
      <c r="E61" s="75"/>
      <c r="F61" s="17"/>
      <c r="G61" s="68">
        <f>E61/Dashboard!$M$7</f>
        <v>0</v>
      </c>
      <c r="H61" s="17" t="str">
        <f t="shared" si="1"/>
        <v/>
      </c>
      <c r="I61" s="8"/>
      <c r="J61" s="17"/>
      <c r="K61" s="75"/>
      <c r="L61" s="17"/>
      <c r="M61" s="68">
        <f>K61/Dashboard!$M$7</f>
        <v>0</v>
      </c>
      <c r="N61" s="17" t="str">
        <f t="shared" si="2"/>
        <v/>
      </c>
      <c r="O61" s="8"/>
      <c r="P61" s="8"/>
      <c r="Q61" s="8"/>
    </row>
    <row r="62">
      <c r="A62" s="76"/>
      <c r="B62" s="17"/>
      <c r="E62" s="75"/>
      <c r="F62" s="17"/>
      <c r="G62" s="68">
        <f>E62/Dashboard!$M$7</f>
        <v>0</v>
      </c>
      <c r="H62" s="17" t="str">
        <f t="shared" si="1"/>
        <v/>
      </c>
      <c r="I62" s="8"/>
      <c r="J62" s="17"/>
      <c r="K62" s="75"/>
      <c r="L62" s="17"/>
      <c r="M62" s="68">
        <f>K62/Dashboard!$M$7</f>
        <v>0</v>
      </c>
      <c r="N62" s="17" t="str">
        <f t="shared" si="2"/>
        <v/>
      </c>
      <c r="O62" s="8"/>
      <c r="P62" s="8"/>
      <c r="Q62" s="8"/>
    </row>
    <row r="63">
      <c r="A63" s="76"/>
      <c r="B63" s="17"/>
      <c r="E63" s="75"/>
      <c r="F63" s="17"/>
      <c r="G63" s="68">
        <f>E63/Dashboard!$M$7</f>
        <v>0</v>
      </c>
      <c r="H63" s="17" t="str">
        <f t="shared" si="1"/>
        <v/>
      </c>
      <c r="I63" s="8"/>
      <c r="J63" s="17"/>
      <c r="K63" s="75"/>
      <c r="L63" s="17"/>
      <c r="M63" s="68">
        <f>K63/Dashboard!$M$7</f>
        <v>0</v>
      </c>
      <c r="N63" s="17" t="str">
        <f t="shared" si="2"/>
        <v/>
      </c>
      <c r="O63" s="8"/>
      <c r="P63" s="8"/>
      <c r="Q63" s="8"/>
    </row>
    <row r="64">
      <c r="A64" s="76"/>
      <c r="B64" s="17"/>
      <c r="E64" s="75"/>
      <c r="F64" s="17"/>
      <c r="G64" s="68">
        <f>E64/Dashboard!$M$7</f>
        <v>0</v>
      </c>
      <c r="H64" s="17" t="str">
        <f t="shared" si="1"/>
        <v/>
      </c>
      <c r="I64" s="8"/>
      <c r="J64" s="17"/>
      <c r="K64" s="75"/>
      <c r="L64" s="17"/>
      <c r="M64" s="68">
        <f>K64/Dashboard!$M$7</f>
        <v>0</v>
      </c>
      <c r="N64" s="17" t="str">
        <f t="shared" si="2"/>
        <v/>
      </c>
      <c r="O64" s="8"/>
      <c r="P64" s="8"/>
      <c r="Q64" s="8"/>
    </row>
    <row r="65">
      <c r="A65" s="76"/>
      <c r="B65" s="17"/>
      <c r="E65" s="75"/>
      <c r="F65" s="17"/>
      <c r="G65" s="68">
        <f>E65/Dashboard!$M$7</f>
        <v>0</v>
      </c>
      <c r="H65" s="17" t="str">
        <f t="shared" si="1"/>
        <v/>
      </c>
      <c r="I65" s="8"/>
      <c r="J65" s="17"/>
      <c r="K65" s="75"/>
      <c r="L65" s="17"/>
      <c r="M65" s="68">
        <f>K65/Dashboard!$M$7</f>
        <v>0</v>
      </c>
      <c r="N65" s="17" t="str">
        <f t="shared" si="2"/>
        <v/>
      </c>
      <c r="O65" s="8"/>
      <c r="P65" s="8"/>
      <c r="Q65" s="8"/>
    </row>
    <row r="66">
      <c r="A66" s="76"/>
      <c r="B66" s="17"/>
      <c r="E66" s="75"/>
      <c r="F66" s="17"/>
      <c r="G66" s="68">
        <f>E66/Dashboard!$M$7</f>
        <v>0</v>
      </c>
      <c r="H66" s="17" t="str">
        <f t="shared" si="1"/>
        <v/>
      </c>
      <c r="I66" s="8"/>
      <c r="J66" s="17"/>
      <c r="K66" s="75"/>
      <c r="L66" s="17"/>
      <c r="M66" s="68">
        <f>K66/Dashboard!$M$7</f>
        <v>0</v>
      </c>
      <c r="N66" s="17" t="str">
        <f t="shared" si="2"/>
        <v/>
      </c>
      <c r="O66" s="8"/>
      <c r="P66" s="8"/>
      <c r="Q66" s="8"/>
    </row>
    <row r="67">
      <c r="A67" s="76"/>
      <c r="B67" s="17"/>
      <c r="E67" s="75"/>
      <c r="F67" s="17"/>
      <c r="G67" s="68">
        <f>E67/Dashboard!$M$7</f>
        <v>0</v>
      </c>
      <c r="H67" s="17" t="str">
        <f t="shared" si="1"/>
        <v/>
      </c>
      <c r="I67" s="8"/>
      <c r="J67" s="17"/>
      <c r="K67" s="75"/>
      <c r="L67" s="17"/>
      <c r="M67" s="68">
        <f>K67/Dashboard!$M$7</f>
        <v>0</v>
      </c>
      <c r="N67" s="17" t="str">
        <f t="shared" si="2"/>
        <v/>
      </c>
      <c r="O67" s="8"/>
      <c r="P67" s="8"/>
      <c r="Q67" s="8"/>
    </row>
    <row r="68">
      <c r="A68" s="76"/>
      <c r="B68" s="17"/>
      <c r="E68" s="75"/>
      <c r="F68" s="17"/>
      <c r="G68" s="68">
        <f>E68/Dashboard!$M$7</f>
        <v>0</v>
      </c>
      <c r="H68" s="17" t="str">
        <f t="shared" si="1"/>
        <v/>
      </c>
      <c r="I68" s="8"/>
      <c r="J68" s="17"/>
      <c r="K68" s="75"/>
      <c r="L68" s="17"/>
      <c r="M68" s="68">
        <f>K68/Dashboard!$M$7</f>
        <v>0</v>
      </c>
      <c r="N68" s="17" t="str">
        <f t="shared" si="2"/>
        <v/>
      </c>
      <c r="O68" s="8"/>
      <c r="P68" s="8"/>
      <c r="Q68" s="8"/>
    </row>
    <row r="69">
      <c r="A69" s="76"/>
      <c r="B69" s="17"/>
      <c r="E69" s="75"/>
      <c r="F69" s="17"/>
      <c r="G69" s="68">
        <f>E69/Dashboard!$M$7</f>
        <v>0</v>
      </c>
      <c r="H69" s="17" t="str">
        <f t="shared" si="1"/>
        <v/>
      </c>
      <c r="I69" s="8"/>
      <c r="J69" s="17"/>
      <c r="K69" s="75"/>
      <c r="L69" s="17"/>
      <c r="M69" s="68">
        <f>K69/Dashboard!$M$7</f>
        <v>0</v>
      </c>
      <c r="N69" s="17" t="str">
        <f t="shared" si="2"/>
        <v/>
      </c>
      <c r="O69" s="8"/>
      <c r="P69" s="8"/>
      <c r="Q69" s="8"/>
    </row>
    <row r="70">
      <c r="A70" s="76"/>
      <c r="B70" s="17"/>
      <c r="E70" s="75"/>
      <c r="F70" s="17"/>
      <c r="G70" s="68">
        <f>E70/Dashboard!$M$7</f>
        <v>0</v>
      </c>
      <c r="H70" s="17" t="str">
        <f t="shared" si="1"/>
        <v/>
      </c>
      <c r="I70" s="8"/>
      <c r="J70" s="17"/>
      <c r="K70" s="75"/>
      <c r="L70" s="17"/>
      <c r="M70" s="68">
        <f>K70/Dashboard!$M$7</f>
        <v>0</v>
      </c>
      <c r="N70" s="17" t="str">
        <f t="shared" si="2"/>
        <v/>
      </c>
      <c r="O70" s="8"/>
      <c r="P70" s="8"/>
      <c r="Q70" s="8"/>
    </row>
    <row r="71">
      <c r="A71" s="76"/>
      <c r="B71" s="17"/>
      <c r="E71" s="75"/>
      <c r="F71" s="17"/>
      <c r="G71" s="68">
        <f>E71/Dashboard!$M$7</f>
        <v>0</v>
      </c>
      <c r="H71" s="17" t="str">
        <f t="shared" si="1"/>
        <v/>
      </c>
      <c r="I71" s="8"/>
      <c r="J71" s="17"/>
      <c r="K71" s="75"/>
      <c r="L71" s="17"/>
      <c r="M71" s="68">
        <f>K71/Dashboard!$M$7</f>
        <v>0</v>
      </c>
      <c r="N71" s="17" t="str">
        <f t="shared" si="2"/>
        <v/>
      </c>
      <c r="O71" s="8"/>
      <c r="P71" s="8"/>
      <c r="Q71" s="8"/>
    </row>
    <row r="72">
      <c r="A72" s="76"/>
      <c r="B72" s="17"/>
      <c r="E72" s="75"/>
      <c r="F72" s="17"/>
      <c r="G72" s="68">
        <f>E72/Dashboard!$M$7</f>
        <v>0</v>
      </c>
      <c r="H72" s="17" t="str">
        <f t="shared" si="1"/>
        <v/>
      </c>
      <c r="I72" s="8"/>
      <c r="J72" s="17"/>
      <c r="K72" s="75"/>
      <c r="L72" s="17"/>
      <c r="M72" s="68">
        <f>K72/Dashboard!$M$7</f>
        <v>0</v>
      </c>
      <c r="N72" s="17" t="str">
        <f t="shared" si="2"/>
        <v/>
      </c>
      <c r="O72" s="8"/>
      <c r="P72" s="8"/>
      <c r="Q72" s="8"/>
    </row>
    <row r="73">
      <c r="A73" s="76"/>
      <c r="B73" s="17"/>
      <c r="E73" s="75"/>
      <c r="F73" s="17"/>
      <c r="G73" s="68">
        <f>E73/Dashboard!$M$7</f>
        <v>0</v>
      </c>
      <c r="H73" s="17" t="str">
        <f t="shared" si="1"/>
        <v/>
      </c>
      <c r="I73" s="8"/>
      <c r="J73" s="17"/>
      <c r="K73" s="75"/>
      <c r="L73" s="17"/>
      <c r="M73" s="68">
        <f>K73/Dashboard!$M$7</f>
        <v>0</v>
      </c>
      <c r="N73" s="17" t="str">
        <f t="shared" si="2"/>
        <v/>
      </c>
      <c r="O73" s="8"/>
      <c r="P73" s="8"/>
      <c r="Q73" s="8"/>
    </row>
    <row r="74">
      <c r="A74" s="76"/>
      <c r="B74" s="17"/>
      <c r="E74" s="75"/>
      <c r="F74" s="17"/>
      <c r="G74" s="68">
        <f>E74/Dashboard!$M$7</f>
        <v>0</v>
      </c>
      <c r="H74" s="17" t="str">
        <f t="shared" si="1"/>
        <v/>
      </c>
      <c r="I74" s="8"/>
      <c r="J74" s="17"/>
      <c r="K74" s="75"/>
      <c r="L74" s="17"/>
      <c r="M74" s="68">
        <f>K74/Dashboard!$M$7</f>
        <v>0</v>
      </c>
      <c r="N74" s="17" t="str">
        <f t="shared" si="2"/>
        <v/>
      </c>
      <c r="O74" s="8"/>
      <c r="P74" s="8"/>
      <c r="Q74" s="8"/>
    </row>
    <row r="75">
      <c r="A75" s="76"/>
      <c r="B75" s="17"/>
      <c r="E75" s="75"/>
      <c r="F75" s="17"/>
      <c r="G75" s="68">
        <f>E75/Dashboard!$M$7</f>
        <v>0</v>
      </c>
      <c r="H75" s="17" t="str">
        <f t="shared" si="1"/>
        <v/>
      </c>
      <c r="I75" s="8"/>
      <c r="J75" s="17"/>
      <c r="K75" s="75"/>
      <c r="L75" s="17"/>
      <c r="M75" s="68">
        <f>K75/Dashboard!$M$7</f>
        <v>0</v>
      </c>
      <c r="N75" s="17" t="str">
        <f t="shared" si="2"/>
        <v/>
      </c>
      <c r="O75" s="8"/>
      <c r="P75" s="8"/>
      <c r="Q75" s="8"/>
    </row>
    <row r="76">
      <c r="A76" s="76"/>
      <c r="B76" s="17"/>
      <c r="E76" s="75"/>
      <c r="F76" s="17"/>
      <c r="G76" s="68">
        <f>E76/Dashboard!$M$7</f>
        <v>0</v>
      </c>
      <c r="H76" s="17" t="str">
        <f t="shared" si="1"/>
        <v/>
      </c>
      <c r="I76" s="8"/>
      <c r="J76" s="17"/>
      <c r="K76" s="75"/>
      <c r="L76" s="17"/>
      <c r="M76" s="68">
        <f>K76/Dashboard!$M$7</f>
        <v>0</v>
      </c>
      <c r="N76" s="17" t="str">
        <f t="shared" si="2"/>
        <v/>
      </c>
      <c r="O76" s="8"/>
      <c r="P76" s="8"/>
      <c r="Q76" s="8"/>
    </row>
    <row r="77">
      <c r="A77" s="76"/>
      <c r="B77" s="17"/>
      <c r="E77" s="75"/>
      <c r="F77" s="17"/>
      <c r="G77" s="68">
        <f>E77/Dashboard!$M$7</f>
        <v>0</v>
      </c>
      <c r="H77" s="17" t="str">
        <f t="shared" si="1"/>
        <v/>
      </c>
      <c r="I77" s="8"/>
      <c r="J77" s="17"/>
      <c r="K77" s="75"/>
      <c r="L77" s="17"/>
      <c r="M77" s="68">
        <f>K77/Dashboard!$M$7</f>
        <v>0</v>
      </c>
      <c r="N77" s="17" t="str">
        <f t="shared" si="2"/>
        <v/>
      </c>
      <c r="O77" s="8"/>
      <c r="P77" s="8"/>
      <c r="Q77" s="8"/>
    </row>
    <row r="78">
      <c r="A78" s="76"/>
      <c r="B78" s="17"/>
      <c r="E78" s="75"/>
      <c r="F78" s="17"/>
      <c r="G78" s="68">
        <f>E78/Dashboard!$M$7</f>
        <v>0</v>
      </c>
      <c r="H78" s="17" t="str">
        <f t="shared" si="1"/>
        <v/>
      </c>
      <c r="I78" s="8"/>
      <c r="J78" s="17"/>
      <c r="K78" s="75"/>
      <c r="L78" s="17"/>
      <c r="M78" s="68">
        <f>K78/Dashboard!$M$7</f>
        <v>0</v>
      </c>
      <c r="N78" s="17" t="str">
        <f t="shared" si="2"/>
        <v/>
      </c>
      <c r="O78" s="8"/>
      <c r="P78" s="8"/>
      <c r="Q78" s="8"/>
    </row>
    <row r="79">
      <c r="A79" s="76"/>
      <c r="B79" s="17"/>
      <c r="E79" s="75"/>
      <c r="F79" s="17"/>
      <c r="G79" s="68">
        <f>E79/Dashboard!$M$7</f>
        <v>0</v>
      </c>
      <c r="H79" s="17" t="str">
        <f t="shared" si="1"/>
        <v/>
      </c>
      <c r="I79" s="8"/>
      <c r="J79" s="17"/>
      <c r="K79" s="75"/>
      <c r="L79" s="17"/>
      <c r="M79" s="68">
        <f>K79/Dashboard!$M$7</f>
        <v>0</v>
      </c>
      <c r="N79" s="17" t="str">
        <f t="shared" si="2"/>
        <v/>
      </c>
      <c r="O79" s="8"/>
      <c r="P79" s="8"/>
      <c r="Q79" s="8"/>
    </row>
    <row r="80">
      <c r="A80" s="76"/>
      <c r="B80" s="17"/>
      <c r="E80" s="75"/>
      <c r="F80" s="17"/>
      <c r="G80" s="68">
        <f>E80/Dashboard!$M$7</f>
        <v>0</v>
      </c>
      <c r="H80" s="17" t="str">
        <f t="shared" si="1"/>
        <v/>
      </c>
      <c r="I80" s="8"/>
      <c r="J80" s="17"/>
      <c r="K80" s="75"/>
      <c r="L80" s="17"/>
      <c r="M80" s="68">
        <f>K80/Dashboard!$M$7</f>
        <v>0</v>
      </c>
      <c r="N80" s="17" t="str">
        <f t="shared" si="2"/>
        <v/>
      </c>
      <c r="O80" s="8"/>
      <c r="P80" s="8"/>
      <c r="Q80" s="8"/>
    </row>
    <row r="81">
      <c r="A81" s="76"/>
      <c r="B81" s="17"/>
      <c r="E81" s="75"/>
      <c r="F81" s="17"/>
      <c r="G81" s="68">
        <f>E81/Dashboard!$M$7</f>
        <v>0</v>
      </c>
      <c r="H81" s="17" t="str">
        <f t="shared" si="1"/>
        <v/>
      </c>
      <c r="I81" s="8"/>
      <c r="J81" s="17"/>
      <c r="K81" s="75"/>
      <c r="L81" s="17"/>
      <c r="M81" s="68">
        <f>K81/Dashboard!$M$7</f>
        <v>0</v>
      </c>
      <c r="N81" s="17" t="str">
        <f t="shared" si="2"/>
        <v/>
      </c>
      <c r="O81" s="8"/>
      <c r="P81" s="8"/>
      <c r="Q81" s="8"/>
    </row>
    <row r="82">
      <c r="A82" s="76"/>
      <c r="B82" s="17"/>
      <c r="E82" s="75"/>
      <c r="F82" s="17"/>
      <c r="G82" s="68">
        <f>E82/Dashboard!$M$7</f>
        <v>0</v>
      </c>
      <c r="H82" s="17" t="str">
        <f t="shared" si="1"/>
        <v/>
      </c>
      <c r="I82" s="8"/>
      <c r="J82" s="17"/>
      <c r="K82" s="75"/>
      <c r="L82" s="17"/>
      <c r="M82" s="68">
        <f>K82/Dashboard!$M$7</f>
        <v>0</v>
      </c>
      <c r="N82" s="17" t="str">
        <f t="shared" si="2"/>
        <v/>
      </c>
      <c r="O82" s="8"/>
      <c r="P82" s="8"/>
      <c r="Q82" s="8"/>
    </row>
    <row r="83">
      <c r="A83" s="76"/>
      <c r="B83" s="17"/>
      <c r="E83" s="75"/>
      <c r="F83" s="17"/>
      <c r="G83" s="68">
        <f>E83/Dashboard!$M$7</f>
        <v>0</v>
      </c>
      <c r="H83" s="17" t="str">
        <f t="shared" si="1"/>
        <v/>
      </c>
      <c r="I83" s="8"/>
      <c r="J83" s="17"/>
      <c r="K83" s="75"/>
      <c r="L83" s="17"/>
      <c r="M83" s="68">
        <f>K83/Dashboard!$M$7</f>
        <v>0</v>
      </c>
      <c r="N83" s="17" t="str">
        <f t="shared" si="2"/>
        <v/>
      </c>
      <c r="O83" s="8"/>
      <c r="P83" s="8"/>
      <c r="Q83" s="8"/>
    </row>
    <row r="84">
      <c r="A84" s="76"/>
      <c r="B84" s="17"/>
      <c r="E84" s="75"/>
      <c r="F84" s="17"/>
      <c r="G84" s="68">
        <f>E84/Dashboard!$M$7</f>
        <v>0</v>
      </c>
      <c r="H84" s="17" t="str">
        <f t="shared" si="1"/>
        <v/>
      </c>
      <c r="I84" s="8"/>
      <c r="J84" s="17"/>
      <c r="K84" s="75"/>
      <c r="L84" s="17"/>
      <c r="M84" s="68">
        <f>K84/Dashboard!$M$7</f>
        <v>0</v>
      </c>
      <c r="N84" s="17" t="str">
        <f t="shared" si="2"/>
        <v/>
      </c>
      <c r="O84" s="8"/>
      <c r="P84" s="8"/>
      <c r="Q84" s="8"/>
    </row>
    <row r="85">
      <c r="A85" s="76"/>
      <c r="B85" s="17"/>
      <c r="E85" s="75"/>
      <c r="F85" s="17"/>
      <c r="G85" s="68">
        <f>E85/Dashboard!$M$7</f>
        <v>0</v>
      </c>
      <c r="H85" s="17" t="str">
        <f t="shared" si="1"/>
        <v/>
      </c>
      <c r="I85" s="8"/>
      <c r="J85" s="17"/>
      <c r="K85" s="75"/>
      <c r="L85" s="17"/>
      <c r="M85" s="68">
        <f>K85/Dashboard!$M$7</f>
        <v>0</v>
      </c>
      <c r="N85" s="17" t="str">
        <f t="shared" si="2"/>
        <v/>
      </c>
      <c r="O85" s="8"/>
      <c r="P85" s="8"/>
      <c r="Q85" s="8"/>
    </row>
    <row r="86">
      <c r="A86" s="76"/>
      <c r="B86" s="17"/>
      <c r="E86" s="75"/>
      <c r="F86" s="17"/>
      <c r="G86" s="68">
        <f>E86/Dashboard!$M$7</f>
        <v>0</v>
      </c>
      <c r="H86" s="17" t="str">
        <f t="shared" si="1"/>
        <v/>
      </c>
      <c r="I86" s="8"/>
      <c r="J86" s="17"/>
      <c r="K86" s="75"/>
      <c r="L86" s="17"/>
      <c r="M86" s="68">
        <f>K86/Dashboard!$M$7</f>
        <v>0</v>
      </c>
      <c r="N86" s="17" t="str">
        <f t="shared" si="2"/>
        <v/>
      </c>
      <c r="O86" s="8"/>
      <c r="P86" s="8"/>
      <c r="Q86" s="8"/>
    </row>
    <row r="87">
      <c r="A87" s="76"/>
      <c r="B87" s="17"/>
      <c r="E87" s="75"/>
      <c r="F87" s="17"/>
      <c r="G87" s="68">
        <f>E87/Dashboard!$M$7</f>
        <v>0</v>
      </c>
      <c r="H87" s="17" t="str">
        <f t="shared" si="1"/>
        <v/>
      </c>
      <c r="I87" s="8"/>
      <c r="J87" s="17"/>
      <c r="K87" s="75"/>
      <c r="L87" s="17"/>
      <c r="M87" s="68">
        <f>K87/Dashboard!$M$7</f>
        <v>0</v>
      </c>
      <c r="N87" s="17" t="str">
        <f t="shared" si="2"/>
        <v/>
      </c>
      <c r="O87" s="8"/>
      <c r="P87" s="8"/>
      <c r="Q87" s="8"/>
    </row>
    <row r="88">
      <c r="A88" s="76"/>
      <c r="B88" s="17"/>
      <c r="E88" s="75"/>
      <c r="F88" s="17"/>
      <c r="G88" s="68">
        <f>E88/Dashboard!$M$7</f>
        <v>0</v>
      </c>
      <c r="H88" s="17" t="str">
        <f t="shared" si="1"/>
        <v/>
      </c>
      <c r="I88" s="8"/>
      <c r="J88" s="17"/>
      <c r="K88" s="75"/>
      <c r="L88" s="17"/>
      <c r="M88" s="68">
        <f>K88/Dashboard!$M$7</f>
        <v>0</v>
      </c>
      <c r="N88" s="17" t="str">
        <f t="shared" si="2"/>
        <v/>
      </c>
      <c r="O88" s="8"/>
      <c r="P88" s="8"/>
      <c r="Q88" s="8"/>
    </row>
    <row r="89">
      <c r="A89" s="76"/>
      <c r="B89" s="17"/>
      <c r="E89" s="75"/>
      <c r="F89" s="17"/>
      <c r="G89" s="68">
        <f>E89/Dashboard!$M$7</f>
        <v>0</v>
      </c>
      <c r="H89" s="17" t="str">
        <f t="shared" si="1"/>
        <v/>
      </c>
      <c r="I89" s="8"/>
      <c r="J89" s="17"/>
      <c r="K89" s="75"/>
      <c r="L89" s="17"/>
      <c r="M89" s="68">
        <f>K89/Dashboard!$M$7</f>
        <v>0</v>
      </c>
      <c r="N89" s="17" t="str">
        <f t="shared" si="2"/>
        <v/>
      </c>
      <c r="O89" s="8"/>
      <c r="P89" s="8"/>
      <c r="Q89" s="8"/>
    </row>
    <row r="90">
      <c r="A90" s="76"/>
      <c r="B90" s="17"/>
      <c r="E90" s="75"/>
      <c r="F90" s="17"/>
      <c r="G90" s="68">
        <f>E90/Dashboard!$M$7</f>
        <v>0</v>
      </c>
      <c r="H90" s="17" t="str">
        <f t="shared" si="1"/>
        <v/>
      </c>
      <c r="I90" s="8"/>
      <c r="J90" s="17"/>
      <c r="K90" s="75"/>
      <c r="L90" s="17"/>
      <c r="M90" s="68">
        <f>K90/Dashboard!$M$7</f>
        <v>0</v>
      </c>
      <c r="N90" s="17" t="str">
        <f t="shared" si="2"/>
        <v/>
      </c>
      <c r="O90" s="8"/>
      <c r="P90" s="8"/>
      <c r="Q90" s="8"/>
    </row>
    <row r="91">
      <c r="A91" s="76"/>
      <c r="B91" s="17"/>
      <c r="E91" s="75"/>
      <c r="F91" s="17"/>
      <c r="G91" s="68">
        <f>E91/Dashboard!$M$7</f>
        <v>0</v>
      </c>
      <c r="H91" s="17" t="str">
        <f t="shared" si="1"/>
        <v/>
      </c>
      <c r="I91" s="8"/>
      <c r="J91" s="17"/>
      <c r="K91" s="75"/>
      <c r="L91" s="17"/>
      <c r="M91" s="68">
        <f>K91/Dashboard!$M$7</f>
        <v>0</v>
      </c>
      <c r="N91" s="17" t="str">
        <f t="shared" si="2"/>
        <v/>
      </c>
      <c r="O91" s="8"/>
      <c r="P91" s="8"/>
      <c r="Q91" s="8"/>
    </row>
    <row r="92">
      <c r="A92" s="76"/>
      <c r="B92" s="17"/>
      <c r="E92" s="75"/>
      <c r="F92" s="17"/>
      <c r="G92" s="68">
        <f>E92/Dashboard!$M$7</f>
        <v>0</v>
      </c>
      <c r="H92" s="17" t="str">
        <f t="shared" si="1"/>
        <v/>
      </c>
      <c r="I92" s="8"/>
      <c r="J92" s="17"/>
      <c r="K92" s="75"/>
      <c r="L92" s="17"/>
      <c r="M92" s="68">
        <f>K92/Dashboard!$M$7</f>
        <v>0</v>
      </c>
      <c r="N92" s="17" t="str">
        <f t="shared" si="2"/>
        <v/>
      </c>
      <c r="O92" s="8"/>
      <c r="P92" s="8"/>
      <c r="Q92" s="8"/>
    </row>
    <row r="93">
      <c r="A93" s="76"/>
      <c r="B93" s="17"/>
      <c r="E93" s="75"/>
      <c r="F93" s="17"/>
      <c r="G93" s="68">
        <f>E93/Dashboard!$M$7</f>
        <v>0</v>
      </c>
      <c r="H93" s="17" t="str">
        <f t="shared" si="1"/>
        <v/>
      </c>
      <c r="I93" s="8"/>
      <c r="J93" s="17"/>
      <c r="K93" s="75"/>
      <c r="L93" s="17"/>
      <c r="M93" s="68">
        <f>K93/Dashboard!$M$7</f>
        <v>0</v>
      </c>
      <c r="N93" s="17" t="str">
        <f t="shared" si="2"/>
        <v/>
      </c>
      <c r="O93" s="8"/>
      <c r="P93" s="8"/>
      <c r="Q93" s="8"/>
    </row>
    <row r="94">
      <c r="A94" s="76"/>
      <c r="B94" s="17"/>
      <c r="E94" s="75"/>
      <c r="F94" s="17"/>
      <c r="G94" s="68">
        <f>E94/Dashboard!$M$7</f>
        <v>0</v>
      </c>
      <c r="H94" s="17" t="str">
        <f t="shared" si="1"/>
        <v/>
      </c>
      <c r="I94" s="8"/>
      <c r="J94" s="17"/>
      <c r="K94" s="75"/>
      <c r="L94" s="17"/>
      <c r="M94" s="68">
        <f>K94/Dashboard!$M$7</f>
        <v>0</v>
      </c>
      <c r="N94" s="17" t="str">
        <f t="shared" si="2"/>
        <v/>
      </c>
      <c r="O94" s="8"/>
      <c r="P94" s="8"/>
      <c r="Q94" s="8"/>
    </row>
    <row r="95">
      <c r="A95" s="76"/>
      <c r="B95" s="17"/>
      <c r="E95" s="75"/>
      <c r="F95" s="17"/>
      <c r="G95" s="68">
        <f>E95/Dashboard!$M$7</f>
        <v>0</v>
      </c>
      <c r="H95" s="17" t="str">
        <f t="shared" si="1"/>
        <v/>
      </c>
      <c r="I95" s="8"/>
      <c r="J95" s="17"/>
      <c r="K95" s="75"/>
      <c r="L95" s="17"/>
      <c r="M95" s="68">
        <f>K95/Dashboard!$M$7</f>
        <v>0</v>
      </c>
      <c r="N95" s="17" t="str">
        <f t="shared" si="2"/>
        <v/>
      </c>
      <c r="O95" s="8"/>
      <c r="P95" s="8"/>
      <c r="Q95" s="8"/>
    </row>
    <row r="96">
      <c r="A96" s="76"/>
      <c r="B96" s="17"/>
      <c r="E96" s="75"/>
      <c r="F96" s="17"/>
      <c r="G96" s="68">
        <f>E96/Dashboard!$M$7</f>
        <v>0</v>
      </c>
      <c r="H96" s="17" t="str">
        <f t="shared" si="1"/>
        <v/>
      </c>
      <c r="I96" s="8"/>
      <c r="J96" s="17"/>
      <c r="K96" s="75"/>
      <c r="L96" s="17"/>
      <c r="M96" s="68">
        <f>K96/Dashboard!$M$7</f>
        <v>0</v>
      </c>
      <c r="N96" s="17" t="str">
        <f t="shared" si="2"/>
        <v/>
      </c>
      <c r="O96" s="8"/>
      <c r="P96" s="8"/>
      <c r="Q96" s="8"/>
    </row>
    <row r="97">
      <c r="A97" s="76"/>
      <c r="B97" s="17"/>
      <c r="E97" s="75"/>
      <c r="F97" s="17"/>
      <c r="G97" s="68">
        <f>E97/Dashboard!$M$7</f>
        <v>0</v>
      </c>
      <c r="H97" s="17" t="str">
        <f t="shared" si="1"/>
        <v/>
      </c>
      <c r="I97" s="8"/>
      <c r="J97" s="17"/>
      <c r="K97" s="75"/>
      <c r="L97" s="17"/>
      <c r="M97" s="68">
        <f>K97/Dashboard!$M$7</f>
        <v>0</v>
      </c>
      <c r="N97" s="17" t="str">
        <f t="shared" si="2"/>
        <v/>
      </c>
      <c r="O97" s="8"/>
      <c r="P97" s="8"/>
      <c r="Q97" s="8"/>
    </row>
    <row r="98">
      <c r="A98" s="76"/>
      <c r="B98" s="17"/>
      <c r="E98" s="75"/>
      <c r="F98" s="17"/>
      <c r="G98" s="68">
        <f>E98/Dashboard!$M$7</f>
        <v>0</v>
      </c>
      <c r="H98" s="17" t="str">
        <f t="shared" si="1"/>
        <v/>
      </c>
      <c r="I98" s="8"/>
      <c r="J98" s="17"/>
      <c r="K98" s="75"/>
      <c r="L98" s="17"/>
      <c r="M98" s="68">
        <f>K98/Dashboard!$M$7</f>
        <v>0</v>
      </c>
      <c r="N98" s="17" t="str">
        <f t="shared" si="2"/>
        <v/>
      </c>
      <c r="O98" s="8"/>
      <c r="P98" s="8"/>
      <c r="Q98" s="8"/>
    </row>
    <row r="99">
      <c r="A99" s="76"/>
      <c r="B99" s="17"/>
      <c r="E99" s="75"/>
      <c r="F99" s="17"/>
      <c r="G99" s="68">
        <f>E99/Dashboard!$M$7</f>
        <v>0</v>
      </c>
      <c r="H99" s="17" t="str">
        <f t="shared" si="1"/>
        <v/>
      </c>
      <c r="I99" s="8"/>
      <c r="J99" s="17"/>
      <c r="K99" s="75"/>
      <c r="L99" s="17"/>
      <c r="M99" s="68">
        <f>K99/Dashboard!$M$7</f>
        <v>0</v>
      </c>
      <c r="N99" s="17" t="str">
        <f t="shared" si="2"/>
        <v/>
      </c>
      <c r="O99" s="8"/>
      <c r="P99" s="8"/>
      <c r="Q99" s="8"/>
    </row>
    <row r="100">
      <c r="A100" s="76"/>
      <c r="B100" s="17"/>
      <c r="E100" s="75"/>
      <c r="F100" s="17"/>
      <c r="G100" s="68">
        <f>E100/Dashboard!$M$7</f>
        <v>0</v>
      </c>
      <c r="H100" s="17" t="str">
        <f t="shared" si="1"/>
        <v/>
      </c>
      <c r="I100" s="8"/>
      <c r="J100" s="17"/>
      <c r="K100" s="75"/>
      <c r="L100" s="17"/>
      <c r="M100" s="68">
        <f>K100/Dashboard!$M$7</f>
        <v>0</v>
      </c>
      <c r="N100" s="17" t="str">
        <f t="shared" si="2"/>
        <v/>
      </c>
      <c r="O100" s="8"/>
      <c r="P100" s="8"/>
      <c r="Q100" s="8"/>
    </row>
    <row r="101">
      <c r="A101" s="76"/>
      <c r="B101" s="17"/>
      <c r="E101" s="75"/>
      <c r="F101" s="17"/>
      <c r="G101" s="68">
        <f>E101/Dashboard!$M$7</f>
        <v>0</v>
      </c>
      <c r="H101" s="17" t="str">
        <f t="shared" si="1"/>
        <v/>
      </c>
      <c r="I101" s="8"/>
      <c r="J101" s="17"/>
      <c r="K101" s="75"/>
      <c r="L101" s="17"/>
      <c r="M101" s="68">
        <f>K101/Dashboard!$M$7</f>
        <v>0</v>
      </c>
      <c r="N101" s="17" t="str">
        <f t="shared" si="2"/>
        <v/>
      </c>
      <c r="O101" s="8"/>
      <c r="P101" s="8"/>
      <c r="Q101" s="8"/>
    </row>
    <row r="102">
      <c r="A102" s="76"/>
      <c r="B102" s="17"/>
      <c r="E102" s="75"/>
      <c r="F102" s="17"/>
      <c r="G102" s="68">
        <f>E102/Dashboard!$M$7</f>
        <v>0</v>
      </c>
      <c r="H102" s="17" t="str">
        <f t="shared" si="1"/>
        <v/>
      </c>
      <c r="I102" s="8"/>
      <c r="J102" s="17"/>
      <c r="K102" s="75"/>
      <c r="L102" s="17"/>
      <c r="M102" s="68">
        <f>K102/Dashboard!$M$7</f>
        <v>0</v>
      </c>
      <c r="N102" s="17" t="str">
        <f t="shared" si="2"/>
        <v/>
      </c>
      <c r="O102" s="8"/>
      <c r="P102" s="8"/>
      <c r="Q102" s="8"/>
    </row>
    <row r="103">
      <c r="A103" s="76"/>
      <c r="B103" s="17"/>
      <c r="E103" s="75"/>
      <c r="F103" s="17"/>
      <c r="G103" s="68">
        <f>E103/Dashboard!$M$7</f>
        <v>0</v>
      </c>
      <c r="H103" s="17" t="str">
        <f t="shared" si="1"/>
        <v/>
      </c>
      <c r="I103" s="8"/>
      <c r="J103" s="17"/>
      <c r="K103" s="75"/>
      <c r="L103" s="17"/>
      <c r="M103" s="68">
        <f>K103/Dashboard!$M$7</f>
        <v>0</v>
      </c>
      <c r="N103" s="17" t="str">
        <f t="shared" si="2"/>
        <v/>
      </c>
      <c r="O103" s="8"/>
      <c r="P103" s="8"/>
      <c r="Q103" s="8"/>
    </row>
    <row r="104">
      <c r="A104" s="76"/>
      <c r="B104" s="17"/>
      <c r="E104" s="75"/>
      <c r="F104" s="17"/>
      <c r="G104" s="68">
        <f>E104/Dashboard!$M$7</f>
        <v>0</v>
      </c>
      <c r="H104" s="17" t="str">
        <f t="shared" si="1"/>
        <v/>
      </c>
      <c r="I104" s="8"/>
      <c r="J104" s="17"/>
      <c r="K104" s="75"/>
      <c r="L104" s="17"/>
      <c r="M104" s="68">
        <f>K104/Dashboard!$M$7</f>
        <v>0</v>
      </c>
      <c r="N104" s="17" t="str">
        <f t="shared" si="2"/>
        <v/>
      </c>
      <c r="O104" s="8"/>
      <c r="P104" s="8"/>
      <c r="Q104" s="8"/>
    </row>
    <row r="105">
      <c r="A105" s="76"/>
      <c r="B105" s="17"/>
      <c r="E105" s="75"/>
      <c r="F105" s="17"/>
      <c r="G105" s="68">
        <f>E105/Dashboard!$M$7</f>
        <v>0</v>
      </c>
      <c r="H105" s="17" t="str">
        <f t="shared" si="1"/>
        <v/>
      </c>
      <c r="I105" s="8"/>
      <c r="J105" s="17"/>
      <c r="K105" s="75"/>
      <c r="L105" s="17"/>
      <c r="M105" s="68">
        <f>K105/Dashboard!$M$7</f>
        <v>0</v>
      </c>
      <c r="N105" s="17" t="str">
        <f t="shared" si="2"/>
        <v/>
      </c>
      <c r="O105" s="8"/>
      <c r="P105" s="8"/>
      <c r="Q105" s="8"/>
    </row>
    <row r="106">
      <c r="A106" s="76"/>
      <c r="B106" s="17"/>
      <c r="E106" s="75"/>
      <c r="F106" s="17"/>
      <c r="G106" s="68">
        <f>E106/Dashboard!$M$7</f>
        <v>0</v>
      </c>
      <c r="H106" s="17" t="str">
        <f t="shared" si="1"/>
        <v/>
      </c>
      <c r="I106" s="8"/>
      <c r="J106" s="17"/>
      <c r="K106" s="75"/>
      <c r="L106" s="17"/>
      <c r="M106" s="68">
        <f>K106/Dashboard!$M$7</f>
        <v>0</v>
      </c>
      <c r="N106" s="17" t="str">
        <f t="shared" si="2"/>
        <v/>
      </c>
      <c r="O106" s="8"/>
      <c r="P106" s="8"/>
      <c r="Q106" s="8"/>
    </row>
    <row r="107">
      <c r="A107" s="76"/>
      <c r="B107" s="17"/>
      <c r="E107" s="75"/>
      <c r="F107" s="17"/>
      <c r="G107" s="68">
        <f>E107/Dashboard!$M$7</f>
        <v>0</v>
      </c>
      <c r="H107" s="17" t="str">
        <f t="shared" si="1"/>
        <v/>
      </c>
      <c r="I107" s="8"/>
      <c r="J107" s="17"/>
      <c r="K107" s="75"/>
      <c r="L107" s="17"/>
      <c r="M107" s="68">
        <f>K107/Dashboard!$M$7</f>
        <v>0</v>
      </c>
      <c r="N107" s="17" t="str">
        <f t="shared" si="2"/>
        <v/>
      </c>
      <c r="O107" s="8"/>
      <c r="P107" s="8"/>
      <c r="Q107" s="8"/>
    </row>
    <row r="108">
      <c r="A108" s="76"/>
      <c r="B108" s="17"/>
      <c r="E108" s="75"/>
      <c r="F108" s="17"/>
      <c r="G108" s="68">
        <f>E108/Dashboard!$M$7</f>
        <v>0</v>
      </c>
      <c r="H108" s="17" t="str">
        <f t="shared" si="1"/>
        <v/>
      </c>
      <c r="I108" s="8"/>
      <c r="J108" s="17"/>
      <c r="K108" s="75"/>
      <c r="L108" s="17"/>
      <c r="M108" s="68">
        <f>K108/Dashboard!$M$7</f>
        <v>0</v>
      </c>
      <c r="N108" s="17" t="str">
        <f t="shared" si="2"/>
        <v/>
      </c>
      <c r="O108" s="8"/>
      <c r="P108" s="8"/>
      <c r="Q108" s="8"/>
    </row>
    <row r="109">
      <c r="A109" s="76"/>
      <c r="B109" s="17"/>
      <c r="E109" s="75"/>
      <c r="F109" s="17"/>
      <c r="G109" s="68">
        <f>E109/Dashboard!$M$7</f>
        <v>0</v>
      </c>
      <c r="H109" s="17" t="str">
        <f t="shared" si="1"/>
        <v/>
      </c>
      <c r="I109" s="8"/>
      <c r="J109" s="17"/>
      <c r="K109" s="75"/>
      <c r="L109" s="17"/>
      <c r="M109" s="68">
        <f>K109/Dashboard!$M$7</f>
        <v>0</v>
      </c>
      <c r="N109" s="17" t="str">
        <f t="shared" si="2"/>
        <v/>
      </c>
      <c r="O109" s="8"/>
      <c r="P109" s="8"/>
      <c r="Q109" s="8"/>
    </row>
    <row r="110">
      <c r="A110" s="76"/>
      <c r="B110" s="17"/>
      <c r="E110" s="75"/>
      <c r="F110" s="17"/>
      <c r="G110" s="68">
        <f>E110/Dashboard!$M$7</f>
        <v>0</v>
      </c>
      <c r="H110" s="17" t="str">
        <f t="shared" si="1"/>
        <v/>
      </c>
      <c r="I110" s="8"/>
      <c r="J110" s="17"/>
      <c r="K110" s="75"/>
      <c r="L110" s="17"/>
      <c r="M110" s="68">
        <f>K110/Dashboard!$M$7</f>
        <v>0</v>
      </c>
      <c r="N110" s="17" t="str">
        <f t="shared" si="2"/>
        <v/>
      </c>
      <c r="O110" s="8"/>
      <c r="P110" s="8"/>
      <c r="Q110" s="8"/>
    </row>
    <row r="111">
      <c r="A111" s="76"/>
      <c r="B111" s="17"/>
      <c r="E111" s="75"/>
      <c r="F111" s="17"/>
      <c r="G111" s="68">
        <f>E111/Dashboard!$M$7</f>
        <v>0</v>
      </c>
      <c r="H111" s="17" t="str">
        <f t="shared" si="1"/>
        <v/>
      </c>
      <c r="I111" s="8"/>
      <c r="J111" s="17"/>
      <c r="K111" s="75"/>
      <c r="L111" s="17"/>
      <c r="M111" s="68">
        <f>K111/Dashboard!$M$7</f>
        <v>0</v>
      </c>
      <c r="N111" s="17" t="str">
        <f t="shared" si="2"/>
        <v/>
      </c>
      <c r="O111" s="8"/>
      <c r="P111" s="8"/>
      <c r="Q111" s="8"/>
    </row>
    <row r="112">
      <c r="A112" s="76"/>
      <c r="B112" s="17"/>
      <c r="E112" s="75"/>
      <c r="F112" s="17"/>
      <c r="G112" s="68">
        <f>E112/Dashboard!$M$7</f>
        <v>0</v>
      </c>
      <c r="H112" s="17" t="str">
        <f t="shared" si="1"/>
        <v/>
      </c>
      <c r="I112" s="8"/>
      <c r="J112" s="17"/>
      <c r="K112" s="75"/>
      <c r="L112" s="17"/>
      <c r="M112" s="68">
        <f>K112/Dashboard!$M$7</f>
        <v>0</v>
      </c>
      <c r="N112" s="17" t="str">
        <f t="shared" si="2"/>
        <v/>
      </c>
      <c r="O112" s="8"/>
      <c r="P112" s="8"/>
      <c r="Q112" s="8"/>
    </row>
    <row r="113">
      <c r="A113" s="76"/>
      <c r="B113" s="17"/>
      <c r="E113" s="75"/>
      <c r="F113" s="17"/>
      <c r="G113" s="68">
        <f>E113/Dashboard!$M$7</f>
        <v>0</v>
      </c>
      <c r="H113" s="17" t="str">
        <f t="shared" si="1"/>
        <v/>
      </c>
      <c r="I113" s="8"/>
      <c r="J113" s="17"/>
      <c r="K113" s="75"/>
      <c r="L113" s="17"/>
      <c r="M113" s="68">
        <f>K113/Dashboard!$M$7</f>
        <v>0</v>
      </c>
      <c r="N113" s="17" t="str">
        <f t="shared" si="2"/>
        <v/>
      </c>
      <c r="O113" s="8"/>
      <c r="P113" s="8"/>
      <c r="Q113" s="8"/>
    </row>
    <row r="114">
      <c r="A114" s="76"/>
      <c r="B114" s="17"/>
      <c r="E114" s="75"/>
      <c r="F114" s="17"/>
      <c r="G114" s="68">
        <f>E114/Dashboard!$M$7</f>
        <v>0</v>
      </c>
      <c r="H114" s="17" t="str">
        <f t="shared" si="1"/>
        <v/>
      </c>
      <c r="I114" s="8"/>
      <c r="J114" s="17"/>
      <c r="K114" s="75"/>
      <c r="L114" s="17"/>
      <c r="M114" s="68">
        <f>K114/Dashboard!$M$7</f>
        <v>0</v>
      </c>
      <c r="N114" s="17" t="str">
        <f t="shared" si="2"/>
        <v/>
      </c>
      <c r="O114" s="8"/>
      <c r="P114" s="8"/>
      <c r="Q114" s="8"/>
    </row>
    <row r="115">
      <c r="A115" s="76"/>
      <c r="B115" s="17"/>
      <c r="E115" s="75"/>
      <c r="F115" s="17"/>
      <c r="G115" s="68">
        <f>E115/Dashboard!$M$7</f>
        <v>0</v>
      </c>
      <c r="H115" s="17" t="str">
        <f t="shared" si="1"/>
        <v/>
      </c>
      <c r="I115" s="8"/>
      <c r="J115" s="17"/>
      <c r="K115" s="75"/>
      <c r="L115" s="17"/>
      <c r="M115" s="68">
        <f>K115/Dashboard!$M$7</f>
        <v>0</v>
      </c>
      <c r="N115" s="17" t="str">
        <f t="shared" si="2"/>
        <v/>
      </c>
      <c r="O115" s="8"/>
      <c r="P115" s="8"/>
      <c r="Q115" s="8"/>
    </row>
    <row r="116">
      <c r="A116" s="76"/>
      <c r="B116" s="17"/>
      <c r="E116" s="75"/>
      <c r="F116" s="17"/>
      <c r="G116" s="68">
        <f>E116/Dashboard!$M$7</f>
        <v>0</v>
      </c>
      <c r="H116" s="17" t="str">
        <f t="shared" si="1"/>
        <v/>
      </c>
      <c r="I116" s="8"/>
      <c r="J116" s="17"/>
      <c r="K116" s="75"/>
      <c r="L116" s="17"/>
      <c r="M116" s="68">
        <f>K116/Dashboard!$M$7</f>
        <v>0</v>
      </c>
      <c r="N116" s="17" t="str">
        <f t="shared" si="2"/>
        <v/>
      </c>
      <c r="O116" s="8"/>
      <c r="P116" s="8"/>
      <c r="Q116" s="8"/>
    </row>
    <row r="117">
      <c r="A117" s="76"/>
      <c r="B117" s="17"/>
      <c r="E117" s="75"/>
      <c r="F117" s="17"/>
      <c r="G117" s="68">
        <f>E117/Dashboard!$M$7</f>
        <v>0</v>
      </c>
      <c r="H117" s="17" t="str">
        <f t="shared" si="1"/>
        <v/>
      </c>
      <c r="I117" s="8"/>
      <c r="J117" s="17"/>
      <c r="K117" s="75"/>
      <c r="L117" s="17"/>
      <c r="M117" s="68">
        <f>K117/Dashboard!$M$7</f>
        <v>0</v>
      </c>
      <c r="N117" s="17" t="str">
        <f t="shared" si="2"/>
        <v/>
      </c>
      <c r="O117" s="8"/>
      <c r="P117" s="8"/>
      <c r="Q117" s="8"/>
    </row>
    <row r="118">
      <c r="A118" s="76"/>
      <c r="B118" s="17"/>
      <c r="E118" s="75"/>
      <c r="F118" s="17"/>
      <c r="G118" s="68">
        <f>E118/Dashboard!$M$7</f>
        <v>0</v>
      </c>
      <c r="H118" s="17" t="str">
        <f t="shared" si="1"/>
        <v/>
      </c>
      <c r="I118" s="8"/>
      <c r="J118" s="17"/>
      <c r="K118" s="75"/>
      <c r="L118" s="17"/>
      <c r="M118" s="68">
        <f>K118/Dashboard!$M$7</f>
        <v>0</v>
      </c>
      <c r="N118" s="17" t="str">
        <f t="shared" si="2"/>
        <v/>
      </c>
      <c r="O118" s="8"/>
      <c r="P118" s="8"/>
      <c r="Q118" s="8"/>
    </row>
    <row r="119">
      <c r="A119" s="76"/>
      <c r="B119" s="17"/>
      <c r="E119" s="75"/>
      <c r="F119" s="17"/>
      <c r="G119" s="68">
        <f>E119/Dashboard!$M$7</f>
        <v>0</v>
      </c>
      <c r="H119" s="17" t="str">
        <f t="shared" si="1"/>
        <v/>
      </c>
      <c r="I119" s="8"/>
      <c r="J119" s="17"/>
      <c r="K119" s="75"/>
      <c r="L119" s="17"/>
      <c r="M119" s="68">
        <f>K119/Dashboard!$M$7</f>
        <v>0</v>
      </c>
      <c r="N119" s="17" t="str">
        <f t="shared" si="2"/>
        <v/>
      </c>
      <c r="O119" s="8"/>
      <c r="P119" s="8"/>
      <c r="Q119" s="8"/>
    </row>
    <row r="120">
      <c r="A120" s="76"/>
      <c r="B120" s="17"/>
      <c r="E120" s="75"/>
      <c r="F120" s="17"/>
      <c r="G120" s="68">
        <f>E120/Dashboard!$M$7</f>
        <v>0</v>
      </c>
      <c r="H120" s="17" t="str">
        <f t="shared" si="1"/>
        <v/>
      </c>
      <c r="I120" s="8"/>
      <c r="J120" s="17"/>
      <c r="K120" s="75"/>
      <c r="L120" s="17"/>
      <c r="M120" s="68">
        <f>K120/Dashboard!$M$7</f>
        <v>0</v>
      </c>
      <c r="N120" s="17" t="str">
        <f t="shared" si="2"/>
        <v/>
      </c>
      <c r="O120" s="8"/>
      <c r="P120" s="8"/>
      <c r="Q120" s="8"/>
    </row>
    <row r="121">
      <c r="A121" s="76"/>
      <c r="B121" s="17"/>
      <c r="E121" s="75"/>
      <c r="F121" s="17"/>
      <c r="G121" s="68">
        <f>E121/Dashboard!$M$7</f>
        <v>0</v>
      </c>
      <c r="H121" s="17" t="str">
        <f t="shared" si="1"/>
        <v/>
      </c>
      <c r="I121" s="8"/>
      <c r="J121" s="17"/>
      <c r="K121" s="75"/>
      <c r="L121" s="17"/>
      <c r="M121" s="68">
        <f>K121/Dashboard!$M$7</f>
        <v>0</v>
      </c>
      <c r="N121" s="17" t="str">
        <f t="shared" si="2"/>
        <v/>
      </c>
      <c r="O121" s="8"/>
      <c r="P121" s="8"/>
      <c r="Q121" s="8"/>
    </row>
    <row r="122">
      <c r="A122" s="76"/>
      <c r="B122" s="17"/>
      <c r="E122" s="75"/>
      <c r="F122" s="17"/>
      <c r="G122" s="68">
        <f>E122/Dashboard!$M$7</f>
        <v>0</v>
      </c>
      <c r="H122" s="17" t="str">
        <f t="shared" si="1"/>
        <v/>
      </c>
      <c r="I122" s="8"/>
      <c r="J122" s="17"/>
      <c r="K122" s="75"/>
      <c r="L122" s="17"/>
      <c r="M122" s="68">
        <f>K122/Dashboard!$M$7</f>
        <v>0</v>
      </c>
      <c r="N122" s="17" t="str">
        <f t="shared" si="2"/>
        <v/>
      </c>
      <c r="O122" s="8"/>
      <c r="P122" s="8"/>
      <c r="Q122" s="8"/>
    </row>
    <row r="123">
      <c r="A123" s="76"/>
      <c r="B123" s="17"/>
      <c r="E123" s="75"/>
      <c r="F123" s="17"/>
      <c r="G123" s="68">
        <f>E123/Dashboard!$M$7</f>
        <v>0</v>
      </c>
      <c r="H123" s="17" t="str">
        <f t="shared" si="1"/>
        <v/>
      </c>
      <c r="I123" s="8"/>
      <c r="J123" s="17"/>
      <c r="K123" s="75"/>
      <c r="L123" s="17"/>
      <c r="M123" s="68">
        <f>K123/Dashboard!$M$7</f>
        <v>0</v>
      </c>
      <c r="N123" s="17" t="str">
        <f t="shared" si="2"/>
        <v/>
      </c>
      <c r="O123" s="8"/>
      <c r="P123" s="8"/>
      <c r="Q123" s="8"/>
    </row>
    <row r="124">
      <c r="A124" s="76"/>
      <c r="B124" s="17"/>
      <c r="E124" s="75"/>
      <c r="F124" s="17"/>
      <c r="G124" s="68">
        <f>E124/Dashboard!$M$7</f>
        <v>0</v>
      </c>
      <c r="H124" s="17" t="str">
        <f t="shared" si="1"/>
        <v/>
      </c>
      <c r="I124" s="8"/>
      <c r="J124" s="17"/>
      <c r="K124" s="75"/>
      <c r="L124" s="17"/>
      <c r="M124" s="68">
        <f>K124/Dashboard!$M$7</f>
        <v>0</v>
      </c>
      <c r="N124" s="17" t="str">
        <f t="shared" si="2"/>
        <v/>
      </c>
      <c r="O124" s="8"/>
      <c r="P124" s="8"/>
      <c r="Q124" s="8"/>
    </row>
    <row r="125">
      <c r="A125" s="76"/>
      <c r="B125" s="17"/>
      <c r="E125" s="75"/>
      <c r="F125" s="17"/>
      <c r="G125" s="68">
        <f>E125/Dashboard!$M$7</f>
        <v>0</v>
      </c>
      <c r="H125" s="17" t="str">
        <f t="shared" si="1"/>
        <v/>
      </c>
      <c r="I125" s="8"/>
      <c r="J125" s="17"/>
      <c r="K125" s="75"/>
      <c r="L125" s="17"/>
      <c r="M125" s="68">
        <f>K125/Dashboard!$M$7</f>
        <v>0</v>
      </c>
      <c r="N125" s="17" t="str">
        <f t="shared" si="2"/>
        <v/>
      </c>
      <c r="O125" s="8"/>
      <c r="P125" s="8"/>
      <c r="Q125" s="8"/>
    </row>
    <row r="126">
      <c r="A126" s="76"/>
      <c r="B126" s="17"/>
      <c r="E126" s="75"/>
      <c r="F126" s="17"/>
      <c r="G126" s="68">
        <f>E126/Dashboard!$M$7</f>
        <v>0</v>
      </c>
      <c r="H126" s="17" t="str">
        <f t="shared" si="1"/>
        <v/>
      </c>
      <c r="I126" s="8"/>
      <c r="J126" s="17"/>
      <c r="K126" s="75"/>
      <c r="L126" s="17"/>
      <c r="M126" s="68">
        <f>K126/Dashboard!$M$7</f>
        <v>0</v>
      </c>
      <c r="N126" s="17" t="str">
        <f t="shared" si="2"/>
        <v/>
      </c>
      <c r="O126" s="8"/>
      <c r="P126" s="8"/>
      <c r="Q126" s="8"/>
    </row>
    <row r="127">
      <c r="A127" s="76"/>
      <c r="B127" s="17"/>
      <c r="E127" s="75"/>
      <c r="F127" s="17"/>
      <c r="G127" s="68">
        <f>E127/Dashboard!$M$7</f>
        <v>0</v>
      </c>
      <c r="H127" s="17" t="str">
        <f t="shared" si="1"/>
        <v/>
      </c>
      <c r="I127" s="8"/>
      <c r="J127" s="17"/>
      <c r="K127" s="75"/>
      <c r="L127" s="17"/>
      <c r="M127" s="68">
        <f>K127/Dashboard!$M$7</f>
        <v>0</v>
      </c>
      <c r="N127" s="17" t="str">
        <f t="shared" si="2"/>
        <v/>
      </c>
      <c r="O127" s="8"/>
      <c r="P127" s="8"/>
      <c r="Q127" s="8"/>
    </row>
    <row r="128">
      <c r="A128" s="76"/>
      <c r="B128" s="17"/>
      <c r="E128" s="75"/>
      <c r="F128" s="17"/>
      <c r="G128" s="68">
        <f>E128/Dashboard!$M$7</f>
        <v>0</v>
      </c>
      <c r="H128" s="17" t="str">
        <f t="shared" si="1"/>
        <v/>
      </c>
      <c r="I128" s="8"/>
      <c r="J128" s="17"/>
      <c r="K128" s="75"/>
      <c r="L128" s="17"/>
      <c r="M128" s="68">
        <f>K128/Dashboard!$M$7</f>
        <v>0</v>
      </c>
      <c r="N128" s="17" t="str">
        <f t="shared" si="2"/>
        <v/>
      </c>
      <c r="O128" s="8"/>
      <c r="P128" s="8"/>
      <c r="Q128" s="8"/>
    </row>
    <row r="129">
      <c r="A129" s="76"/>
      <c r="B129" s="17"/>
      <c r="E129" s="75"/>
      <c r="F129" s="17"/>
      <c r="G129" s="68">
        <f>E129/Dashboard!$M$7</f>
        <v>0</v>
      </c>
      <c r="H129" s="17" t="str">
        <f t="shared" si="1"/>
        <v/>
      </c>
      <c r="I129" s="8"/>
      <c r="J129" s="17"/>
      <c r="K129" s="75"/>
      <c r="L129" s="17"/>
      <c r="M129" s="68">
        <f>K129/Dashboard!$M$7</f>
        <v>0</v>
      </c>
      <c r="N129" s="17" t="str">
        <f t="shared" si="2"/>
        <v/>
      </c>
      <c r="O129" s="8"/>
      <c r="P129" s="8"/>
      <c r="Q129" s="8"/>
    </row>
    <row r="130">
      <c r="A130" s="76"/>
      <c r="B130" s="17"/>
      <c r="E130" s="75"/>
      <c r="F130" s="17"/>
      <c r="G130" s="68">
        <f>E130/Dashboard!$M$7</f>
        <v>0</v>
      </c>
      <c r="H130" s="17" t="str">
        <f t="shared" si="1"/>
        <v/>
      </c>
      <c r="I130" s="8"/>
      <c r="J130" s="17"/>
      <c r="K130" s="75"/>
      <c r="L130" s="17"/>
      <c r="M130" s="68">
        <f>K130/Dashboard!$M$7</f>
        <v>0</v>
      </c>
      <c r="N130" s="17" t="str">
        <f t="shared" si="2"/>
        <v/>
      </c>
      <c r="O130" s="8"/>
      <c r="P130" s="8"/>
      <c r="Q130" s="8"/>
    </row>
    <row r="131">
      <c r="A131" s="76"/>
      <c r="B131" s="17"/>
      <c r="E131" s="75"/>
      <c r="F131" s="17"/>
      <c r="G131" s="68">
        <f>E131/Dashboard!$M$7</f>
        <v>0</v>
      </c>
      <c r="H131" s="17" t="str">
        <f t="shared" si="1"/>
        <v/>
      </c>
      <c r="I131" s="8"/>
      <c r="J131" s="17"/>
      <c r="K131" s="75"/>
      <c r="L131" s="17"/>
      <c r="M131" s="68">
        <f>K131/Dashboard!$M$7</f>
        <v>0</v>
      </c>
      <c r="N131" s="17" t="str">
        <f t="shared" si="2"/>
        <v/>
      </c>
      <c r="O131" s="8"/>
      <c r="P131" s="8"/>
      <c r="Q131" s="8"/>
    </row>
    <row r="132">
      <c r="A132" s="76"/>
      <c r="B132" s="17"/>
      <c r="E132" s="75"/>
      <c r="F132" s="17"/>
      <c r="G132" s="68">
        <f>E132/Dashboard!$M$7</f>
        <v>0</v>
      </c>
      <c r="H132" s="17" t="str">
        <f t="shared" si="1"/>
        <v/>
      </c>
      <c r="I132" s="8"/>
      <c r="J132" s="17"/>
      <c r="K132" s="75"/>
      <c r="L132" s="17"/>
      <c r="M132" s="68">
        <f>K132/Dashboard!$M$7</f>
        <v>0</v>
      </c>
      <c r="N132" s="17" t="str">
        <f t="shared" si="2"/>
        <v/>
      </c>
      <c r="O132" s="8"/>
      <c r="P132" s="8"/>
      <c r="Q132" s="8"/>
    </row>
    <row r="133">
      <c r="A133" s="76"/>
      <c r="B133" s="17"/>
      <c r="E133" s="75"/>
      <c r="F133" s="17"/>
      <c r="G133" s="68">
        <f>E133/Dashboard!$M$7</f>
        <v>0</v>
      </c>
      <c r="H133" s="17" t="str">
        <f t="shared" si="1"/>
        <v/>
      </c>
      <c r="I133" s="8"/>
      <c r="J133" s="17"/>
      <c r="K133" s="75"/>
      <c r="L133" s="17"/>
      <c r="M133" s="68">
        <f>K133/Dashboard!$M$7</f>
        <v>0</v>
      </c>
      <c r="N133" s="17" t="str">
        <f t="shared" si="2"/>
        <v/>
      </c>
      <c r="O133" s="8"/>
      <c r="P133" s="8"/>
      <c r="Q133" s="8"/>
    </row>
    <row r="134">
      <c r="A134" s="76"/>
      <c r="B134" s="17"/>
      <c r="E134" s="75"/>
      <c r="F134" s="17"/>
      <c r="G134" s="68">
        <f>E134/Dashboard!$M$7</f>
        <v>0</v>
      </c>
      <c r="H134" s="17" t="str">
        <f t="shared" si="1"/>
        <v/>
      </c>
      <c r="I134" s="8"/>
      <c r="J134" s="17"/>
      <c r="K134" s="75"/>
      <c r="L134" s="17"/>
      <c r="M134" s="68">
        <f>K134/Dashboard!$M$7</f>
        <v>0</v>
      </c>
      <c r="N134" s="17" t="str">
        <f t="shared" si="2"/>
        <v/>
      </c>
      <c r="O134" s="8"/>
      <c r="P134" s="8"/>
      <c r="Q134" s="8"/>
    </row>
    <row r="135">
      <c r="A135" s="76"/>
      <c r="B135" s="17"/>
      <c r="E135" s="75"/>
      <c r="F135" s="17"/>
      <c r="G135" s="68">
        <f>E135/Dashboard!$M$7</f>
        <v>0</v>
      </c>
      <c r="H135" s="17" t="str">
        <f t="shared" si="1"/>
        <v/>
      </c>
      <c r="I135" s="8"/>
      <c r="J135" s="17"/>
      <c r="K135" s="75"/>
      <c r="L135" s="17"/>
      <c r="M135" s="68">
        <f>K135/Dashboard!$M$7</f>
        <v>0</v>
      </c>
      <c r="N135" s="17" t="str">
        <f t="shared" si="2"/>
        <v/>
      </c>
      <c r="O135" s="8"/>
      <c r="P135" s="8"/>
      <c r="Q135" s="8"/>
    </row>
    <row r="136">
      <c r="A136" s="76"/>
      <c r="B136" s="17"/>
      <c r="E136" s="75"/>
      <c r="F136" s="17"/>
      <c r="G136" s="68">
        <f>E136/Dashboard!$M$7</f>
        <v>0</v>
      </c>
      <c r="H136" s="17" t="str">
        <f t="shared" si="1"/>
        <v/>
      </c>
      <c r="I136" s="8"/>
      <c r="J136" s="17"/>
      <c r="K136" s="75"/>
      <c r="L136" s="17"/>
      <c r="M136" s="68">
        <f>K136/Dashboard!$M$7</f>
        <v>0</v>
      </c>
      <c r="N136" s="17" t="str">
        <f t="shared" si="2"/>
        <v/>
      </c>
      <c r="O136" s="8"/>
      <c r="P136" s="8"/>
      <c r="Q136" s="8"/>
    </row>
    <row r="137">
      <c r="A137" s="76"/>
      <c r="B137" s="17"/>
      <c r="E137" s="75"/>
      <c r="F137" s="17"/>
      <c r="G137" s="68">
        <f>E137/Dashboard!$M$7</f>
        <v>0</v>
      </c>
      <c r="H137" s="17" t="str">
        <f t="shared" si="1"/>
        <v/>
      </c>
      <c r="I137" s="8"/>
      <c r="J137" s="17"/>
      <c r="K137" s="75"/>
      <c r="L137" s="17"/>
      <c r="M137" s="68">
        <f>K137/Dashboard!$M$7</f>
        <v>0</v>
      </c>
      <c r="N137" s="17" t="str">
        <f t="shared" si="2"/>
        <v/>
      </c>
      <c r="O137" s="8"/>
      <c r="P137" s="8"/>
      <c r="Q137" s="8"/>
    </row>
    <row r="138">
      <c r="A138" s="76"/>
      <c r="B138" s="17"/>
      <c r="E138" s="75"/>
      <c r="F138" s="17"/>
      <c r="G138" s="68">
        <f>E138/Dashboard!$M$7</f>
        <v>0</v>
      </c>
      <c r="H138" s="17" t="str">
        <f t="shared" si="1"/>
        <v/>
      </c>
      <c r="I138" s="8"/>
      <c r="J138" s="17"/>
      <c r="K138" s="75"/>
      <c r="L138" s="17"/>
      <c r="M138" s="68">
        <f>K138/Dashboard!$M$7</f>
        <v>0</v>
      </c>
      <c r="N138" s="17" t="str">
        <f t="shared" si="2"/>
        <v/>
      </c>
      <c r="O138" s="8"/>
      <c r="P138" s="8"/>
      <c r="Q138" s="8"/>
    </row>
    <row r="139">
      <c r="A139" s="76"/>
      <c r="B139" s="17"/>
      <c r="E139" s="75"/>
      <c r="F139" s="17"/>
      <c r="G139" s="68">
        <f>E139/Dashboard!$M$7</f>
        <v>0</v>
      </c>
      <c r="H139" s="17" t="str">
        <f t="shared" si="1"/>
        <v/>
      </c>
      <c r="I139" s="8"/>
      <c r="J139" s="17"/>
      <c r="K139" s="75"/>
      <c r="L139" s="17"/>
      <c r="M139" s="68">
        <f>K139/Dashboard!$M$7</f>
        <v>0</v>
      </c>
      <c r="N139" s="17" t="str">
        <f t="shared" si="2"/>
        <v/>
      </c>
      <c r="O139" s="8"/>
      <c r="P139" s="8"/>
      <c r="Q139" s="8"/>
    </row>
    <row r="140">
      <c r="A140" s="76"/>
      <c r="B140" s="17"/>
      <c r="E140" s="75"/>
      <c r="F140" s="17"/>
      <c r="G140" s="68">
        <f>E140/Dashboard!$M$7</f>
        <v>0</v>
      </c>
      <c r="H140" s="17" t="str">
        <f t="shared" si="1"/>
        <v/>
      </c>
      <c r="I140" s="8"/>
      <c r="J140" s="17"/>
      <c r="K140" s="75"/>
      <c r="L140" s="17"/>
      <c r="M140" s="68">
        <f>K140/Dashboard!$M$7</f>
        <v>0</v>
      </c>
      <c r="N140" s="17" t="str">
        <f t="shared" si="2"/>
        <v/>
      </c>
      <c r="O140" s="8"/>
      <c r="P140" s="8"/>
      <c r="Q140" s="8"/>
    </row>
    <row r="141">
      <c r="A141" s="76"/>
      <c r="B141" s="17"/>
      <c r="E141" s="75"/>
      <c r="F141" s="17"/>
      <c r="G141" s="68">
        <f>E141/Dashboard!$M$7</f>
        <v>0</v>
      </c>
      <c r="H141" s="17" t="str">
        <f t="shared" si="1"/>
        <v/>
      </c>
      <c r="I141" s="8"/>
      <c r="J141" s="17"/>
      <c r="K141" s="75"/>
      <c r="L141" s="17"/>
      <c r="M141" s="68">
        <f>K141/Dashboard!$M$7</f>
        <v>0</v>
      </c>
      <c r="N141" s="17" t="str">
        <f t="shared" si="2"/>
        <v/>
      </c>
      <c r="O141" s="8"/>
      <c r="P141" s="8"/>
      <c r="Q141" s="8"/>
    </row>
    <row r="142">
      <c r="A142" s="76"/>
      <c r="B142" s="17"/>
      <c r="E142" s="75"/>
      <c r="F142" s="17"/>
      <c r="G142" s="68">
        <f>E142/Dashboard!$M$7</f>
        <v>0</v>
      </c>
      <c r="H142" s="17" t="str">
        <f t="shared" si="1"/>
        <v/>
      </c>
      <c r="I142" s="8"/>
      <c r="J142" s="17"/>
      <c r="K142" s="75"/>
      <c r="L142" s="17"/>
      <c r="M142" s="68">
        <f>K142/Dashboard!$M$7</f>
        <v>0</v>
      </c>
      <c r="N142" s="17" t="str">
        <f t="shared" si="2"/>
        <v/>
      </c>
      <c r="O142" s="8"/>
      <c r="P142" s="8"/>
      <c r="Q142" s="8"/>
    </row>
    <row r="143">
      <c r="A143" s="76"/>
      <c r="B143" s="17"/>
      <c r="E143" s="75"/>
      <c r="F143" s="17"/>
      <c r="G143" s="68">
        <f>E143/Dashboard!$M$7</f>
        <v>0</v>
      </c>
      <c r="H143" s="17" t="str">
        <f t="shared" si="1"/>
        <v/>
      </c>
      <c r="I143" s="8"/>
      <c r="J143" s="17"/>
      <c r="K143" s="75"/>
      <c r="L143" s="17"/>
      <c r="M143" s="68">
        <f>K143/Dashboard!$M$7</f>
        <v>0</v>
      </c>
      <c r="N143" s="17" t="str">
        <f t="shared" si="2"/>
        <v/>
      </c>
      <c r="O143" s="8"/>
      <c r="P143" s="8"/>
      <c r="Q143" s="8"/>
    </row>
    <row r="144">
      <c r="A144" s="76"/>
      <c r="B144" s="17"/>
      <c r="E144" s="75"/>
      <c r="F144" s="17"/>
      <c r="G144" s="68">
        <f>E144/Dashboard!$M$7</f>
        <v>0</v>
      </c>
      <c r="H144" s="17" t="str">
        <f t="shared" si="1"/>
        <v/>
      </c>
      <c r="I144" s="8"/>
      <c r="J144" s="17"/>
      <c r="K144" s="75"/>
      <c r="L144" s="17"/>
      <c r="M144" s="68">
        <f>K144/Dashboard!$M$7</f>
        <v>0</v>
      </c>
      <c r="N144" s="17" t="str">
        <f t="shared" si="2"/>
        <v/>
      </c>
      <c r="O144" s="8"/>
      <c r="P144" s="8"/>
      <c r="Q144" s="8"/>
    </row>
    <row r="145">
      <c r="A145" s="76"/>
      <c r="B145" s="17"/>
      <c r="E145" s="75"/>
      <c r="F145" s="17"/>
      <c r="G145" s="68">
        <f>E145/Dashboard!$M$7</f>
        <v>0</v>
      </c>
      <c r="H145" s="17" t="str">
        <f t="shared" si="1"/>
        <v/>
      </c>
      <c r="I145" s="8"/>
      <c r="J145" s="17"/>
      <c r="K145" s="75"/>
      <c r="L145" s="17"/>
      <c r="M145" s="68">
        <f>K145/Dashboard!$M$7</f>
        <v>0</v>
      </c>
      <c r="N145" s="17" t="str">
        <f t="shared" si="2"/>
        <v/>
      </c>
      <c r="O145" s="8"/>
      <c r="P145" s="8"/>
      <c r="Q145" s="8"/>
    </row>
    <row r="146">
      <c r="A146" s="76"/>
      <c r="B146" s="17"/>
      <c r="E146" s="75"/>
      <c r="F146" s="17"/>
      <c r="G146" s="68">
        <f>E146/Dashboard!$M$7</f>
        <v>0</v>
      </c>
      <c r="H146" s="17" t="str">
        <f t="shared" si="1"/>
        <v/>
      </c>
      <c r="I146" s="8"/>
      <c r="J146" s="17"/>
      <c r="K146" s="75"/>
      <c r="L146" s="17"/>
      <c r="M146" s="68">
        <f>K146/Dashboard!$M$7</f>
        <v>0</v>
      </c>
      <c r="N146" s="17" t="str">
        <f t="shared" si="2"/>
        <v/>
      </c>
      <c r="O146" s="8"/>
      <c r="P146" s="8"/>
      <c r="Q146" s="8"/>
    </row>
    <row r="147">
      <c r="A147" s="76"/>
      <c r="B147" s="17"/>
      <c r="E147" s="75"/>
      <c r="F147" s="17"/>
      <c r="G147" s="68">
        <f>E147/Dashboard!$M$7</f>
        <v>0</v>
      </c>
      <c r="H147" s="17" t="str">
        <f t="shared" si="1"/>
        <v/>
      </c>
      <c r="I147" s="8"/>
      <c r="J147" s="17"/>
      <c r="K147" s="75"/>
      <c r="L147" s="17"/>
      <c r="M147" s="68">
        <f>K147/Dashboard!$M$7</f>
        <v>0</v>
      </c>
      <c r="N147" s="17" t="str">
        <f t="shared" si="2"/>
        <v/>
      </c>
      <c r="O147" s="8"/>
      <c r="P147" s="8"/>
      <c r="Q147" s="8"/>
    </row>
    <row r="148">
      <c r="A148" s="76"/>
      <c r="B148" s="17"/>
      <c r="E148" s="75"/>
      <c r="F148" s="17"/>
      <c r="G148" s="68">
        <f>E148/Dashboard!$M$7</f>
        <v>0</v>
      </c>
      <c r="H148" s="17" t="str">
        <f t="shared" si="1"/>
        <v/>
      </c>
      <c r="I148" s="8"/>
      <c r="J148" s="17"/>
      <c r="K148" s="75"/>
      <c r="L148" s="17"/>
      <c r="M148" s="68">
        <f>K148/Dashboard!$M$7</f>
        <v>0</v>
      </c>
      <c r="N148" s="17" t="str">
        <f t="shared" si="2"/>
        <v/>
      </c>
      <c r="O148" s="8"/>
      <c r="P148" s="8"/>
      <c r="Q148" s="8"/>
    </row>
    <row r="149">
      <c r="A149" s="76"/>
      <c r="B149" s="17"/>
      <c r="E149" s="75"/>
      <c r="F149" s="17"/>
      <c r="G149" s="68">
        <f>E149/Dashboard!$M$7</f>
        <v>0</v>
      </c>
      <c r="H149" s="17" t="str">
        <f t="shared" si="1"/>
        <v/>
      </c>
      <c r="I149" s="8"/>
      <c r="J149" s="17"/>
      <c r="K149" s="75"/>
      <c r="L149" s="17"/>
      <c r="M149" s="68">
        <f>K149/Dashboard!$M$7</f>
        <v>0</v>
      </c>
      <c r="N149" s="17" t="str">
        <f t="shared" si="2"/>
        <v/>
      </c>
      <c r="O149" s="8"/>
      <c r="P149" s="8"/>
      <c r="Q149" s="8"/>
    </row>
    <row r="150">
      <c r="A150" s="76"/>
      <c r="B150" s="17"/>
      <c r="E150" s="75"/>
      <c r="F150" s="17"/>
      <c r="G150" s="68">
        <f>E150/Dashboard!$M$7</f>
        <v>0</v>
      </c>
      <c r="H150" s="17" t="str">
        <f t="shared" si="1"/>
        <v/>
      </c>
      <c r="I150" s="8"/>
      <c r="J150" s="17"/>
      <c r="K150" s="75"/>
      <c r="L150" s="17"/>
      <c r="M150" s="68">
        <f>K150/Dashboard!$M$7</f>
        <v>0</v>
      </c>
      <c r="N150" s="17" t="str">
        <f t="shared" si="2"/>
        <v/>
      </c>
      <c r="O150" s="8"/>
      <c r="P150" s="8"/>
      <c r="Q150" s="8"/>
    </row>
    <row r="151">
      <c r="A151" s="76"/>
      <c r="B151" s="17"/>
      <c r="E151" s="75"/>
      <c r="F151" s="17"/>
      <c r="G151" s="68">
        <f>E151/Dashboard!$M$7</f>
        <v>0</v>
      </c>
      <c r="H151" s="17" t="str">
        <f t="shared" si="1"/>
        <v/>
      </c>
      <c r="I151" s="8"/>
      <c r="J151" s="17"/>
      <c r="K151" s="75"/>
      <c r="L151" s="17"/>
      <c r="M151" s="68">
        <f>K151/Dashboard!$M$7</f>
        <v>0</v>
      </c>
      <c r="N151" s="17" t="str">
        <f t="shared" si="2"/>
        <v/>
      </c>
      <c r="O151" s="8"/>
      <c r="P151" s="8"/>
      <c r="Q151" s="8"/>
    </row>
    <row r="152">
      <c r="A152" s="76"/>
      <c r="B152" s="17"/>
      <c r="E152" s="75"/>
      <c r="F152" s="17"/>
      <c r="G152" s="68">
        <f>E152/Dashboard!$M$7</f>
        <v>0</v>
      </c>
      <c r="H152" s="17" t="str">
        <f t="shared" si="1"/>
        <v/>
      </c>
      <c r="I152" s="8"/>
      <c r="J152" s="17"/>
      <c r="K152" s="75"/>
      <c r="L152" s="17"/>
      <c r="M152" s="68">
        <f>K152/Dashboard!$M$7</f>
        <v>0</v>
      </c>
      <c r="N152" s="17" t="str">
        <f t="shared" si="2"/>
        <v/>
      </c>
      <c r="O152" s="8"/>
      <c r="P152" s="8"/>
      <c r="Q152" s="8"/>
    </row>
    <row r="153">
      <c r="A153" s="76"/>
      <c r="B153" s="17"/>
      <c r="E153" s="75"/>
      <c r="F153" s="17"/>
      <c r="G153" s="68">
        <f>E153/Dashboard!$M$7</f>
        <v>0</v>
      </c>
      <c r="H153" s="17" t="str">
        <f t="shared" si="1"/>
        <v/>
      </c>
      <c r="I153" s="8"/>
      <c r="J153" s="17"/>
      <c r="K153" s="75"/>
      <c r="L153" s="17"/>
      <c r="M153" s="68">
        <f>K153/Dashboard!$M$7</f>
        <v>0</v>
      </c>
      <c r="N153" s="17" t="str">
        <f t="shared" si="2"/>
        <v/>
      </c>
      <c r="O153" s="8"/>
      <c r="P153" s="8"/>
      <c r="Q153" s="8"/>
    </row>
    <row r="154">
      <c r="A154" s="76"/>
      <c r="B154" s="17"/>
      <c r="E154" s="75"/>
      <c r="F154" s="17"/>
      <c r="G154" s="68">
        <f>E154/Dashboard!$M$7</f>
        <v>0</v>
      </c>
      <c r="H154" s="17" t="str">
        <f t="shared" si="1"/>
        <v/>
      </c>
      <c r="I154" s="8"/>
      <c r="J154" s="17"/>
      <c r="K154" s="75"/>
      <c r="L154" s="17"/>
      <c r="M154" s="68">
        <f>K154/Dashboard!$M$7</f>
        <v>0</v>
      </c>
      <c r="N154" s="17" t="str">
        <f t="shared" si="2"/>
        <v/>
      </c>
      <c r="O154" s="8"/>
      <c r="P154" s="8"/>
      <c r="Q154" s="8"/>
    </row>
    <row r="155">
      <c r="A155" s="76"/>
      <c r="B155" s="17"/>
      <c r="E155" s="75"/>
      <c r="F155" s="17"/>
      <c r="G155" s="68">
        <f>E155/Dashboard!$M$7</f>
        <v>0</v>
      </c>
      <c r="H155" s="17" t="str">
        <f t="shared" si="1"/>
        <v/>
      </c>
      <c r="I155" s="8"/>
      <c r="J155" s="17"/>
      <c r="K155" s="75"/>
      <c r="L155" s="17"/>
      <c r="M155" s="68">
        <f>K155/Dashboard!$M$7</f>
        <v>0</v>
      </c>
      <c r="N155" s="17" t="str">
        <f t="shared" si="2"/>
        <v/>
      </c>
      <c r="O155" s="8"/>
      <c r="P155" s="8"/>
      <c r="Q155" s="8"/>
    </row>
    <row r="156">
      <c r="A156" s="76"/>
      <c r="B156" s="17"/>
      <c r="E156" s="75"/>
      <c r="F156" s="17"/>
      <c r="G156" s="68">
        <f>E156/Dashboard!$M$7</f>
        <v>0</v>
      </c>
      <c r="H156" s="17" t="str">
        <f t="shared" si="1"/>
        <v/>
      </c>
      <c r="I156" s="8"/>
      <c r="J156" s="17"/>
      <c r="K156" s="75"/>
      <c r="L156" s="17"/>
      <c r="M156" s="68">
        <f>K156/Dashboard!$M$7</f>
        <v>0</v>
      </c>
      <c r="N156" s="17" t="str">
        <f t="shared" si="2"/>
        <v/>
      </c>
      <c r="O156" s="8"/>
      <c r="P156" s="8"/>
      <c r="Q156" s="8"/>
    </row>
    <row r="157">
      <c r="A157" s="76"/>
      <c r="B157" s="17"/>
      <c r="E157" s="75"/>
      <c r="F157" s="17"/>
      <c r="G157" s="68">
        <f>E157/Dashboard!$M$7</f>
        <v>0</v>
      </c>
      <c r="H157" s="17" t="str">
        <f t="shared" si="1"/>
        <v/>
      </c>
      <c r="I157" s="8"/>
      <c r="J157" s="17"/>
      <c r="K157" s="75"/>
      <c r="L157" s="17"/>
      <c r="M157" s="68">
        <f>K157/Dashboard!$M$7</f>
        <v>0</v>
      </c>
      <c r="N157" s="17" t="str">
        <f t="shared" si="2"/>
        <v/>
      </c>
      <c r="O157" s="8"/>
      <c r="P157" s="8"/>
      <c r="Q157" s="8"/>
    </row>
    <row r="158">
      <c r="A158" s="76"/>
      <c r="B158" s="17"/>
      <c r="E158" s="75"/>
      <c r="F158" s="17"/>
      <c r="G158" s="68">
        <f>E158/Dashboard!$M$7</f>
        <v>0</v>
      </c>
      <c r="H158" s="17" t="str">
        <f t="shared" si="1"/>
        <v/>
      </c>
      <c r="I158" s="8"/>
      <c r="J158" s="17"/>
      <c r="K158" s="75"/>
      <c r="L158" s="17"/>
      <c r="M158" s="68">
        <f>K158/Dashboard!$M$7</f>
        <v>0</v>
      </c>
      <c r="N158" s="17" t="str">
        <f t="shared" si="2"/>
        <v/>
      </c>
      <c r="O158" s="8"/>
      <c r="P158" s="8"/>
      <c r="Q158" s="8"/>
    </row>
    <row r="159">
      <c r="A159" s="76"/>
      <c r="B159" s="17"/>
      <c r="E159" s="75"/>
      <c r="F159" s="17"/>
      <c r="G159" s="68">
        <f>E159/Dashboard!$M$7</f>
        <v>0</v>
      </c>
      <c r="H159" s="17" t="str">
        <f t="shared" si="1"/>
        <v/>
      </c>
      <c r="I159" s="8"/>
      <c r="J159" s="17"/>
      <c r="K159" s="75"/>
      <c r="L159" s="17"/>
      <c r="M159" s="68">
        <f>K159/Dashboard!$M$7</f>
        <v>0</v>
      </c>
      <c r="N159" s="17" t="str">
        <f t="shared" si="2"/>
        <v/>
      </c>
      <c r="O159" s="8"/>
      <c r="P159" s="8"/>
      <c r="Q159" s="8"/>
    </row>
    <row r="160">
      <c r="A160" s="76"/>
      <c r="B160" s="17"/>
      <c r="E160" s="75"/>
      <c r="F160" s="17"/>
      <c r="G160" s="68">
        <f>E160/Dashboard!$M$7</f>
        <v>0</v>
      </c>
      <c r="H160" s="17" t="str">
        <f t="shared" si="1"/>
        <v/>
      </c>
      <c r="I160" s="8"/>
      <c r="J160" s="17"/>
      <c r="K160" s="75"/>
      <c r="L160" s="17"/>
      <c r="M160" s="68">
        <f>K160/Dashboard!$M$7</f>
        <v>0</v>
      </c>
      <c r="N160" s="17" t="str">
        <f t="shared" si="2"/>
        <v/>
      </c>
      <c r="O160" s="8"/>
      <c r="P160" s="8"/>
      <c r="Q160" s="8"/>
    </row>
    <row r="161">
      <c r="A161" s="76"/>
      <c r="B161" s="17"/>
      <c r="E161" s="75"/>
      <c r="F161" s="17"/>
      <c r="G161" s="68">
        <f>E161/Dashboard!$M$7</f>
        <v>0</v>
      </c>
      <c r="H161" s="17" t="str">
        <f t="shared" si="1"/>
        <v/>
      </c>
      <c r="I161" s="8"/>
      <c r="J161" s="17"/>
      <c r="K161" s="75"/>
      <c r="L161" s="17"/>
      <c r="M161" s="68">
        <f>K161/Dashboard!$M$7</f>
        <v>0</v>
      </c>
      <c r="N161" s="17" t="str">
        <f t="shared" si="2"/>
        <v/>
      </c>
      <c r="O161" s="8"/>
      <c r="P161" s="8"/>
      <c r="Q161" s="8"/>
    </row>
    <row r="162">
      <c r="A162" s="76"/>
      <c r="B162" s="17"/>
      <c r="E162" s="75"/>
      <c r="F162" s="17"/>
      <c r="G162" s="68">
        <f>E162/Dashboard!$M$7</f>
        <v>0</v>
      </c>
      <c r="H162" s="17" t="str">
        <f t="shared" si="1"/>
        <v/>
      </c>
      <c r="I162" s="8"/>
      <c r="J162" s="17"/>
      <c r="K162" s="75"/>
      <c r="L162" s="17"/>
      <c r="M162" s="68">
        <f>K162/Dashboard!$M$7</f>
        <v>0</v>
      </c>
      <c r="N162" s="17" t="str">
        <f t="shared" si="2"/>
        <v/>
      </c>
      <c r="O162" s="8"/>
      <c r="P162" s="8"/>
      <c r="Q162" s="8"/>
    </row>
    <row r="163">
      <c r="A163" s="76"/>
      <c r="B163" s="17"/>
      <c r="E163" s="75"/>
      <c r="F163" s="17"/>
      <c r="G163" s="68">
        <f>E163/Dashboard!$M$7</f>
        <v>0</v>
      </c>
      <c r="H163" s="17" t="str">
        <f t="shared" si="1"/>
        <v/>
      </c>
      <c r="I163" s="8"/>
      <c r="J163" s="17"/>
      <c r="K163" s="75"/>
      <c r="L163" s="17"/>
      <c r="M163" s="68">
        <f>K163/Dashboard!$M$7</f>
        <v>0</v>
      </c>
      <c r="N163" s="17" t="str">
        <f t="shared" si="2"/>
        <v/>
      </c>
      <c r="O163" s="8"/>
      <c r="P163" s="8"/>
      <c r="Q163" s="8"/>
    </row>
    <row r="164">
      <c r="A164" s="76"/>
      <c r="B164" s="17"/>
      <c r="E164" s="75"/>
      <c r="F164" s="17"/>
      <c r="G164" s="68">
        <f>E164/Dashboard!$M$7</f>
        <v>0</v>
      </c>
      <c r="H164" s="17" t="str">
        <f t="shared" si="1"/>
        <v/>
      </c>
      <c r="I164" s="8"/>
      <c r="J164" s="17"/>
      <c r="K164" s="75"/>
      <c r="L164" s="17"/>
      <c r="M164" s="68">
        <f>K164/Dashboard!$M$7</f>
        <v>0</v>
      </c>
      <c r="N164" s="17" t="str">
        <f t="shared" si="2"/>
        <v/>
      </c>
      <c r="O164" s="8"/>
      <c r="P164" s="8"/>
      <c r="Q164" s="8"/>
    </row>
    <row r="165">
      <c r="A165" s="76"/>
      <c r="B165" s="17"/>
      <c r="E165" s="75"/>
      <c r="F165" s="17"/>
      <c r="G165" s="68">
        <f>E165/Dashboard!$M$7</f>
        <v>0</v>
      </c>
      <c r="H165" s="17" t="str">
        <f t="shared" si="1"/>
        <v/>
      </c>
      <c r="I165" s="8"/>
      <c r="J165" s="17"/>
      <c r="K165" s="75"/>
      <c r="L165" s="17"/>
      <c r="M165" s="68">
        <f>K165/Dashboard!$M$7</f>
        <v>0</v>
      </c>
      <c r="N165" s="17" t="str">
        <f t="shared" si="2"/>
        <v/>
      </c>
      <c r="O165" s="8"/>
      <c r="P165" s="8"/>
      <c r="Q165" s="8"/>
    </row>
    <row r="166">
      <c r="A166" s="76"/>
      <c r="B166" s="17"/>
      <c r="E166" s="75"/>
      <c r="F166" s="17"/>
      <c r="G166" s="68">
        <f>E166/Dashboard!$M$7</f>
        <v>0</v>
      </c>
      <c r="H166" s="17" t="str">
        <f t="shared" si="1"/>
        <v/>
      </c>
      <c r="I166" s="8"/>
      <c r="J166" s="17"/>
      <c r="K166" s="75"/>
      <c r="L166" s="17"/>
      <c r="M166" s="68">
        <f>K166/Dashboard!$M$7</f>
        <v>0</v>
      </c>
      <c r="N166" s="17" t="str">
        <f t="shared" si="2"/>
        <v/>
      </c>
      <c r="O166" s="8"/>
      <c r="P166" s="8"/>
      <c r="Q166" s="8"/>
    </row>
    <row r="167">
      <c r="A167" s="76"/>
      <c r="B167" s="17"/>
      <c r="E167" s="75"/>
      <c r="F167" s="17"/>
      <c r="G167" s="68">
        <f>E167/Dashboard!$M$7</f>
        <v>0</v>
      </c>
      <c r="H167" s="17" t="str">
        <f t="shared" si="1"/>
        <v/>
      </c>
      <c r="I167" s="8"/>
      <c r="J167" s="17"/>
      <c r="K167" s="75"/>
      <c r="L167" s="17"/>
      <c r="M167" s="68">
        <f>K167/Dashboard!$M$7</f>
        <v>0</v>
      </c>
      <c r="N167" s="17" t="str">
        <f t="shared" si="2"/>
        <v/>
      </c>
      <c r="O167" s="8"/>
      <c r="P167" s="8"/>
      <c r="Q167" s="8"/>
    </row>
    <row r="168">
      <c r="A168" s="76"/>
      <c r="B168" s="17"/>
      <c r="E168" s="75"/>
      <c r="F168" s="17"/>
      <c r="G168" s="68">
        <f>E168/Dashboard!$M$7</f>
        <v>0</v>
      </c>
      <c r="H168" s="17" t="str">
        <f t="shared" si="1"/>
        <v/>
      </c>
      <c r="I168" s="8"/>
      <c r="J168" s="17"/>
      <c r="K168" s="75"/>
      <c r="L168" s="17"/>
      <c r="M168" s="68">
        <f>K168/Dashboard!$M$7</f>
        <v>0</v>
      </c>
      <c r="N168" s="17" t="str">
        <f t="shared" si="2"/>
        <v/>
      </c>
      <c r="O168" s="8"/>
      <c r="P168" s="8"/>
      <c r="Q168" s="8"/>
    </row>
    <row r="169">
      <c r="A169" s="76"/>
      <c r="B169" s="17"/>
      <c r="E169" s="75"/>
      <c r="F169" s="17"/>
      <c r="G169" s="68">
        <f>E169/Dashboard!$M$7</f>
        <v>0</v>
      </c>
      <c r="H169" s="17" t="str">
        <f t="shared" si="1"/>
        <v/>
      </c>
      <c r="I169" s="8"/>
      <c r="J169" s="17"/>
      <c r="K169" s="75"/>
      <c r="L169" s="17"/>
      <c r="M169" s="68">
        <f>K169/Dashboard!$M$7</f>
        <v>0</v>
      </c>
      <c r="N169" s="17" t="str">
        <f t="shared" si="2"/>
        <v/>
      </c>
      <c r="O169" s="8"/>
      <c r="P169" s="8"/>
      <c r="Q169" s="8"/>
    </row>
    <row r="170">
      <c r="A170" s="76"/>
      <c r="B170" s="17"/>
      <c r="E170" s="75"/>
      <c r="F170" s="17"/>
      <c r="G170" s="68">
        <f>E170/Dashboard!$M$7</f>
        <v>0</v>
      </c>
      <c r="H170" s="17" t="str">
        <f t="shared" si="1"/>
        <v/>
      </c>
      <c r="I170" s="8"/>
      <c r="J170" s="17"/>
      <c r="K170" s="75"/>
      <c r="L170" s="17"/>
      <c r="M170" s="68">
        <f>K170/Dashboard!$M$7</f>
        <v>0</v>
      </c>
      <c r="N170" s="17" t="str">
        <f t="shared" si="2"/>
        <v/>
      </c>
      <c r="O170" s="8"/>
      <c r="P170" s="8"/>
      <c r="Q170" s="8"/>
    </row>
    <row r="171">
      <c r="A171" s="76"/>
      <c r="B171" s="17"/>
      <c r="E171" s="75"/>
      <c r="F171" s="17"/>
      <c r="G171" s="68">
        <f>E171/Dashboard!$M$7</f>
        <v>0</v>
      </c>
      <c r="H171" s="17" t="str">
        <f t="shared" si="1"/>
        <v/>
      </c>
      <c r="I171" s="8"/>
      <c r="J171" s="17"/>
      <c r="K171" s="75"/>
      <c r="L171" s="17"/>
      <c r="M171" s="68">
        <f>K171/Dashboard!$M$7</f>
        <v>0</v>
      </c>
      <c r="N171" s="17" t="str">
        <f t="shared" si="2"/>
        <v/>
      </c>
      <c r="O171" s="8"/>
      <c r="P171" s="8"/>
      <c r="Q171" s="8"/>
    </row>
    <row r="172">
      <c r="A172" s="76"/>
      <c r="B172" s="17"/>
      <c r="E172" s="75"/>
      <c r="F172" s="17"/>
      <c r="G172" s="68">
        <f>E172/Dashboard!$M$7</f>
        <v>0</v>
      </c>
      <c r="H172" s="17" t="str">
        <f t="shared" si="1"/>
        <v/>
      </c>
      <c r="I172" s="8"/>
      <c r="J172" s="17"/>
      <c r="K172" s="75"/>
      <c r="L172" s="17"/>
      <c r="M172" s="68">
        <f>K172/Dashboard!$M$7</f>
        <v>0</v>
      </c>
      <c r="N172" s="17" t="str">
        <f t="shared" si="2"/>
        <v/>
      </c>
      <c r="O172" s="8"/>
      <c r="P172" s="8"/>
      <c r="Q172" s="8"/>
    </row>
    <row r="173">
      <c r="A173" s="76"/>
      <c r="B173" s="17"/>
      <c r="E173" s="75"/>
      <c r="F173" s="17"/>
      <c r="G173" s="68">
        <f>E173/Dashboard!$M$7</f>
        <v>0</v>
      </c>
      <c r="H173" s="17" t="str">
        <f t="shared" si="1"/>
        <v/>
      </c>
      <c r="I173" s="8"/>
      <c r="J173" s="17"/>
      <c r="K173" s="75"/>
      <c r="L173" s="17"/>
      <c r="M173" s="68">
        <f>K173/Dashboard!$M$7</f>
        <v>0</v>
      </c>
      <c r="N173" s="17" t="str">
        <f t="shared" si="2"/>
        <v/>
      </c>
      <c r="O173" s="8"/>
      <c r="P173" s="8"/>
      <c r="Q173" s="8"/>
    </row>
    <row r="174">
      <c r="A174" s="76"/>
      <c r="B174" s="17"/>
      <c r="E174" s="75"/>
      <c r="F174" s="17"/>
      <c r="G174" s="68">
        <f>E174/Dashboard!$M$7</f>
        <v>0</v>
      </c>
      <c r="H174" s="17" t="str">
        <f t="shared" si="1"/>
        <v/>
      </c>
      <c r="I174" s="8"/>
      <c r="J174" s="17"/>
      <c r="K174" s="75"/>
      <c r="L174" s="17"/>
      <c r="M174" s="68">
        <f>K174/Dashboard!$M$7</f>
        <v>0</v>
      </c>
      <c r="N174" s="17" t="str">
        <f t="shared" si="2"/>
        <v/>
      </c>
      <c r="O174" s="8"/>
      <c r="P174" s="8"/>
      <c r="Q174" s="8"/>
    </row>
    <row r="175">
      <c r="A175" s="76"/>
      <c r="B175" s="17"/>
      <c r="E175" s="75"/>
      <c r="F175" s="17"/>
      <c r="G175" s="68">
        <f>E175/Dashboard!$M$7</f>
        <v>0</v>
      </c>
      <c r="H175" s="17" t="str">
        <f t="shared" si="1"/>
        <v/>
      </c>
      <c r="I175" s="8"/>
      <c r="J175" s="17"/>
      <c r="K175" s="75"/>
      <c r="L175" s="17"/>
      <c r="M175" s="68">
        <f>K175/Dashboard!$M$7</f>
        <v>0</v>
      </c>
      <c r="N175" s="17" t="str">
        <f t="shared" si="2"/>
        <v/>
      </c>
      <c r="O175" s="8"/>
      <c r="P175" s="8"/>
      <c r="Q175" s="8"/>
    </row>
    <row r="176">
      <c r="A176" s="76"/>
      <c r="B176" s="17"/>
      <c r="E176" s="75"/>
      <c r="F176" s="17"/>
      <c r="G176" s="68">
        <f>E176/Dashboard!$M$7</f>
        <v>0</v>
      </c>
      <c r="H176" s="17" t="str">
        <f t="shared" si="1"/>
        <v/>
      </c>
      <c r="I176" s="8"/>
      <c r="J176" s="17"/>
      <c r="K176" s="75"/>
      <c r="L176" s="17"/>
      <c r="M176" s="68">
        <f>K176/Dashboard!$M$7</f>
        <v>0</v>
      </c>
      <c r="N176" s="17" t="str">
        <f t="shared" si="2"/>
        <v/>
      </c>
      <c r="O176" s="8"/>
      <c r="P176" s="8"/>
      <c r="Q176" s="8"/>
    </row>
    <row r="177">
      <c r="A177" s="76"/>
      <c r="B177" s="17"/>
      <c r="E177" s="75"/>
      <c r="F177" s="17"/>
      <c r="G177" s="68">
        <f>E177/Dashboard!$M$7</f>
        <v>0</v>
      </c>
      <c r="H177" s="17" t="str">
        <f t="shared" si="1"/>
        <v/>
      </c>
      <c r="I177" s="8"/>
      <c r="J177" s="17"/>
      <c r="K177" s="75"/>
      <c r="L177" s="17"/>
      <c r="M177" s="68">
        <f>K177/Dashboard!$M$7</f>
        <v>0</v>
      </c>
      <c r="N177" s="17" t="str">
        <f t="shared" si="2"/>
        <v/>
      </c>
      <c r="O177" s="8"/>
      <c r="P177" s="8"/>
      <c r="Q177" s="8"/>
    </row>
    <row r="178">
      <c r="A178" s="76"/>
      <c r="B178" s="17"/>
      <c r="E178" s="75"/>
      <c r="F178" s="17"/>
      <c r="G178" s="68">
        <f>E178/Dashboard!$M$7</f>
        <v>0</v>
      </c>
      <c r="H178" s="17" t="str">
        <f t="shared" si="1"/>
        <v/>
      </c>
      <c r="I178" s="8"/>
      <c r="J178" s="17"/>
      <c r="K178" s="75"/>
      <c r="L178" s="17"/>
      <c r="M178" s="68">
        <f>K178/Dashboard!$M$7</f>
        <v>0</v>
      </c>
      <c r="N178" s="17" t="str">
        <f t="shared" si="2"/>
        <v/>
      </c>
      <c r="O178" s="8"/>
      <c r="P178" s="8"/>
      <c r="Q178" s="8"/>
    </row>
    <row r="179">
      <c r="A179" s="76"/>
      <c r="B179" s="17"/>
      <c r="E179" s="75"/>
      <c r="F179" s="17"/>
      <c r="G179" s="68">
        <f>E179/Dashboard!$M$7</f>
        <v>0</v>
      </c>
      <c r="H179" s="17" t="str">
        <f t="shared" si="1"/>
        <v/>
      </c>
      <c r="I179" s="8"/>
      <c r="J179" s="17"/>
      <c r="K179" s="75"/>
      <c r="L179" s="17"/>
      <c r="M179" s="68">
        <f>K179/Dashboard!$M$7</f>
        <v>0</v>
      </c>
      <c r="N179" s="17" t="str">
        <f t="shared" si="2"/>
        <v/>
      </c>
      <c r="O179" s="8"/>
      <c r="P179" s="8"/>
      <c r="Q179" s="8"/>
    </row>
    <row r="180">
      <c r="A180" s="76"/>
      <c r="B180" s="17"/>
      <c r="E180" s="75"/>
      <c r="F180" s="17"/>
      <c r="G180" s="68">
        <f>E180/Dashboard!$M$7</f>
        <v>0</v>
      </c>
      <c r="H180" s="17" t="str">
        <f t="shared" si="1"/>
        <v/>
      </c>
      <c r="I180" s="8"/>
      <c r="J180" s="17"/>
      <c r="K180" s="75"/>
      <c r="L180" s="17"/>
      <c r="M180" s="68">
        <f>K180/Dashboard!$M$7</f>
        <v>0</v>
      </c>
      <c r="N180" s="17" t="str">
        <f t="shared" si="2"/>
        <v/>
      </c>
      <c r="O180" s="8"/>
      <c r="P180" s="8"/>
      <c r="Q180" s="8"/>
    </row>
    <row r="181">
      <c r="A181" s="76"/>
      <c r="B181" s="17"/>
      <c r="E181" s="75"/>
      <c r="F181" s="17"/>
      <c r="G181" s="68">
        <f>E181/Dashboard!$M$7</f>
        <v>0</v>
      </c>
      <c r="H181" s="17" t="str">
        <f t="shared" si="1"/>
        <v/>
      </c>
      <c r="I181" s="8"/>
      <c r="J181" s="17"/>
      <c r="K181" s="75"/>
      <c r="L181" s="17"/>
      <c r="M181" s="68">
        <f>K181/Dashboard!$M$7</f>
        <v>0</v>
      </c>
      <c r="N181" s="17" t="str">
        <f t="shared" si="2"/>
        <v/>
      </c>
      <c r="O181" s="8"/>
      <c r="P181" s="8"/>
      <c r="Q181" s="8"/>
    </row>
    <row r="182">
      <c r="A182" s="76"/>
      <c r="B182" s="17"/>
      <c r="E182" s="75"/>
      <c r="F182" s="17"/>
      <c r="G182" s="68">
        <f>E182/Dashboard!$M$7</f>
        <v>0</v>
      </c>
      <c r="H182" s="17" t="str">
        <f t="shared" si="1"/>
        <v/>
      </c>
      <c r="I182" s="8"/>
      <c r="J182" s="17"/>
      <c r="K182" s="75"/>
      <c r="L182" s="17"/>
      <c r="M182" s="68">
        <f>K182/Dashboard!$M$7</f>
        <v>0</v>
      </c>
      <c r="N182" s="17" t="str">
        <f t="shared" si="2"/>
        <v/>
      </c>
      <c r="O182" s="8"/>
      <c r="P182" s="8"/>
      <c r="Q182" s="8"/>
    </row>
    <row r="183">
      <c r="A183" s="76"/>
      <c r="B183" s="17"/>
      <c r="E183" s="75"/>
      <c r="F183" s="17"/>
      <c r="G183" s="68">
        <f>E183/Dashboard!$M$7</f>
        <v>0</v>
      </c>
      <c r="H183" s="17" t="str">
        <f t="shared" si="1"/>
        <v/>
      </c>
      <c r="I183" s="8"/>
      <c r="J183" s="17"/>
      <c r="K183" s="75"/>
      <c r="L183" s="17"/>
      <c r="M183" s="68">
        <f>K183/Dashboard!$M$7</f>
        <v>0</v>
      </c>
      <c r="N183" s="17" t="str">
        <f t="shared" si="2"/>
        <v/>
      </c>
      <c r="O183" s="8"/>
      <c r="P183" s="8"/>
      <c r="Q183" s="8"/>
    </row>
    <row r="184">
      <c r="A184" s="76"/>
      <c r="B184" s="17"/>
      <c r="E184" s="75"/>
      <c r="F184" s="17"/>
      <c r="G184" s="68">
        <f>E184/Dashboard!$M$7</f>
        <v>0</v>
      </c>
      <c r="H184" s="17" t="str">
        <f t="shared" si="1"/>
        <v/>
      </c>
      <c r="I184" s="8"/>
      <c r="J184" s="17"/>
      <c r="K184" s="75"/>
      <c r="L184" s="17"/>
      <c r="M184" s="68">
        <f>K184/Dashboard!$M$7</f>
        <v>0</v>
      </c>
      <c r="N184" s="17" t="str">
        <f t="shared" si="2"/>
        <v/>
      </c>
      <c r="O184" s="8"/>
      <c r="P184" s="8"/>
      <c r="Q184" s="8"/>
    </row>
    <row r="185">
      <c r="A185" s="76"/>
      <c r="B185" s="17"/>
      <c r="E185" s="75"/>
      <c r="F185" s="17"/>
      <c r="G185" s="68">
        <f>E185/Dashboard!$M$7</f>
        <v>0</v>
      </c>
      <c r="H185" s="17" t="str">
        <f t="shared" si="1"/>
        <v/>
      </c>
      <c r="I185" s="8"/>
      <c r="J185" s="17"/>
      <c r="K185" s="75"/>
      <c r="L185" s="17"/>
      <c r="M185" s="68">
        <f>K185/Dashboard!$M$7</f>
        <v>0</v>
      </c>
      <c r="N185" s="17" t="str">
        <f t="shared" si="2"/>
        <v/>
      </c>
      <c r="O185" s="8"/>
      <c r="P185" s="8"/>
      <c r="Q185" s="8"/>
    </row>
    <row r="186">
      <c r="A186" s="76"/>
      <c r="B186" s="17"/>
      <c r="E186" s="75"/>
      <c r="F186" s="17"/>
      <c r="G186" s="68">
        <f>E186/Dashboard!$M$7</f>
        <v>0</v>
      </c>
      <c r="H186" s="17" t="str">
        <f t="shared" si="1"/>
        <v/>
      </c>
      <c r="I186" s="8"/>
      <c r="J186" s="17"/>
      <c r="K186" s="75"/>
      <c r="L186" s="17"/>
      <c r="M186" s="68">
        <f>K186/Dashboard!$M$7</f>
        <v>0</v>
      </c>
      <c r="N186" s="17" t="str">
        <f t="shared" si="2"/>
        <v/>
      </c>
      <c r="O186" s="8"/>
      <c r="P186" s="8"/>
      <c r="Q186" s="8"/>
    </row>
    <row r="187">
      <c r="A187" s="76"/>
      <c r="B187" s="17"/>
      <c r="E187" s="75"/>
      <c r="F187" s="17"/>
      <c r="G187" s="68">
        <f>E187/Dashboard!$M$7</f>
        <v>0</v>
      </c>
      <c r="H187" s="17" t="str">
        <f t="shared" si="1"/>
        <v/>
      </c>
      <c r="I187" s="8"/>
      <c r="J187" s="17"/>
      <c r="K187" s="75"/>
      <c r="L187" s="17"/>
      <c r="M187" s="68">
        <f>K187/Dashboard!$M$7</f>
        <v>0</v>
      </c>
      <c r="N187" s="17" t="str">
        <f t="shared" si="2"/>
        <v/>
      </c>
      <c r="O187" s="8"/>
      <c r="P187" s="8"/>
      <c r="Q187" s="8"/>
    </row>
    <row r="188">
      <c r="A188" s="76"/>
      <c r="B188" s="17"/>
      <c r="E188" s="75"/>
      <c r="F188" s="17"/>
      <c r="G188" s="68">
        <f>E188/Dashboard!$M$7</f>
        <v>0</v>
      </c>
      <c r="H188" s="17" t="str">
        <f t="shared" si="1"/>
        <v/>
      </c>
      <c r="I188" s="8"/>
      <c r="J188" s="17"/>
      <c r="K188" s="75"/>
      <c r="L188" s="17"/>
      <c r="M188" s="68">
        <f>K188/Dashboard!$M$7</f>
        <v>0</v>
      </c>
      <c r="N188" s="17" t="str">
        <f t="shared" si="2"/>
        <v/>
      </c>
      <c r="O188" s="8"/>
      <c r="P188" s="8"/>
      <c r="Q188" s="8"/>
    </row>
    <row r="189">
      <c r="A189" s="76"/>
      <c r="B189" s="17"/>
      <c r="E189" s="75"/>
      <c r="F189" s="17"/>
      <c r="G189" s="68">
        <f>E189/Dashboard!$M$7</f>
        <v>0</v>
      </c>
      <c r="H189" s="17" t="str">
        <f t="shared" si="1"/>
        <v/>
      </c>
      <c r="I189" s="8"/>
      <c r="J189" s="17"/>
      <c r="K189" s="75"/>
      <c r="L189" s="17"/>
      <c r="M189" s="68">
        <f>K189/Dashboard!$M$7</f>
        <v>0</v>
      </c>
      <c r="N189" s="17" t="str">
        <f t="shared" si="2"/>
        <v/>
      </c>
      <c r="O189" s="8"/>
      <c r="P189" s="8"/>
      <c r="Q189" s="8"/>
    </row>
    <row r="190">
      <c r="A190" s="76"/>
      <c r="B190" s="17"/>
      <c r="E190" s="75"/>
      <c r="F190" s="17"/>
      <c r="G190" s="68">
        <f>E190/Dashboard!$M$7</f>
        <v>0</v>
      </c>
      <c r="H190" s="17" t="str">
        <f t="shared" si="1"/>
        <v/>
      </c>
      <c r="I190" s="8"/>
      <c r="J190" s="17"/>
      <c r="K190" s="75"/>
      <c r="L190" s="17"/>
      <c r="M190" s="68">
        <f>K190/Dashboard!$M$7</f>
        <v>0</v>
      </c>
      <c r="N190" s="17" t="str">
        <f t="shared" si="2"/>
        <v/>
      </c>
      <c r="O190" s="8"/>
      <c r="P190" s="8"/>
      <c r="Q190" s="8"/>
    </row>
    <row r="191">
      <c r="A191" s="76"/>
      <c r="B191" s="17"/>
      <c r="E191" s="75"/>
      <c r="F191" s="17"/>
      <c r="G191" s="68">
        <f>E191/Dashboard!$M$7</f>
        <v>0</v>
      </c>
      <c r="H191" s="17" t="str">
        <f t="shared" si="1"/>
        <v/>
      </c>
      <c r="I191" s="8"/>
      <c r="J191" s="17"/>
      <c r="K191" s="75"/>
      <c r="L191" s="17"/>
      <c r="M191" s="68">
        <f>K191/Dashboard!$M$7</f>
        <v>0</v>
      </c>
      <c r="N191" s="17" t="str">
        <f t="shared" si="2"/>
        <v/>
      </c>
      <c r="O191" s="8"/>
      <c r="P191" s="8"/>
      <c r="Q191" s="8"/>
    </row>
    <row r="192">
      <c r="A192" s="76"/>
      <c r="B192" s="17"/>
      <c r="E192" s="75"/>
      <c r="F192" s="17"/>
      <c r="G192" s="68">
        <f>E192/Dashboard!$M$7</f>
        <v>0</v>
      </c>
      <c r="H192" s="17" t="str">
        <f t="shared" si="1"/>
        <v/>
      </c>
      <c r="I192" s="8"/>
      <c r="J192" s="17"/>
      <c r="K192" s="75"/>
      <c r="L192" s="17"/>
      <c r="M192" s="68">
        <f>K192/Dashboard!$M$7</f>
        <v>0</v>
      </c>
      <c r="N192" s="17" t="str">
        <f t="shared" si="2"/>
        <v/>
      </c>
      <c r="O192" s="8"/>
      <c r="P192" s="8"/>
      <c r="Q192" s="8"/>
    </row>
    <row r="193">
      <c r="A193" s="76"/>
      <c r="B193" s="17"/>
      <c r="E193" s="75"/>
      <c r="F193" s="17"/>
      <c r="G193" s="68">
        <f>E193/Dashboard!$M$7</f>
        <v>0</v>
      </c>
      <c r="H193" s="17" t="str">
        <f t="shared" si="1"/>
        <v/>
      </c>
      <c r="I193" s="8"/>
      <c r="J193" s="17"/>
      <c r="K193" s="75"/>
      <c r="L193" s="17"/>
      <c r="M193" s="68">
        <f>K193/Dashboard!$M$7</f>
        <v>0</v>
      </c>
      <c r="N193" s="17" t="str">
        <f t="shared" si="2"/>
        <v/>
      </c>
      <c r="O193" s="8"/>
      <c r="P193" s="8"/>
      <c r="Q193" s="8"/>
    </row>
    <row r="194">
      <c r="A194" s="76"/>
      <c r="B194" s="17"/>
      <c r="E194" s="75"/>
      <c r="F194" s="17"/>
      <c r="G194" s="68">
        <f>E194/Dashboard!$M$7</f>
        <v>0</v>
      </c>
      <c r="H194" s="17" t="str">
        <f t="shared" si="1"/>
        <v/>
      </c>
      <c r="I194" s="8"/>
      <c r="J194" s="17"/>
      <c r="K194" s="75"/>
      <c r="L194" s="17"/>
      <c r="M194" s="68">
        <f>K194/Dashboard!$M$7</f>
        <v>0</v>
      </c>
      <c r="N194" s="17" t="str">
        <f t="shared" si="2"/>
        <v/>
      </c>
      <c r="O194" s="8"/>
      <c r="P194" s="8"/>
      <c r="Q194" s="8"/>
    </row>
    <row r="195">
      <c r="A195" s="76"/>
      <c r="B195" s="17"/>
      <c r="E195" s="75"/>
      <c r="F195" s="17"/>
      <c r="G195" s="68">
        <f>E195/Dashboard!$M$7</f>
        <v>0</v>
      </c>
      <c r="H195" s="17" t="str">
        <f t="shared" si="1"/>
        <v/>
      </c>
      <c r="I195" s="8"/>
      <c r="J195" s="17"/>
      <c r="K195" s="75"/>
      <c r="L195" s="17"/>
      <c r="M195" s="68">
        <f>K195/Dashboard!$M$7</f>
        <v>0</v>
      </c>
      <c r="N195" s="17" t="str">
        <f t="shared" si="2"/>
        <v/>
      </c>
      <c r="O195" s="8"/>
      <c r="P195" s="8"/>
      <c r="Q195" s="8"/>
    </row>
    <row r="196">
      <c r="A196" s="76"/>
      <c r="B196" s="17"/>
      <c r="E196" s="75"/>
      <c r="F196" s="17"/>
      <c r="G196" s="68">
        <f>E196/Dashboard!$M$7</f>
        <v>0</v>
      </c>
      <c r="H196" s="17" t="str">
        <f t="shared" si="1"/>
        <v/>
      </c>
      <c r="I196" s="8"/>
      <c r="J196" s="17"/>
      <c r="K196" s="75"/>
      <c r="L196" s="17"/>
      <c r="M196" s="68">
        <f>K196/Dashboard!$M$7</f>
        <v>0</v>
      </c>
      <c r="N196" s="17" t="str">
        <f t="shared" si="2"/>
        <v/>
      </c>
      <c r="O196" s="8"/>
      <c r="P196" s="8"/>
      <c r="Q196" s="8"/>
    </row>
    <row r="197">
      <c r="A197" s="76"/>
      <c r="B197" s="17"/>
      <c r="E197" s="75"/>
      <c r="F197" s="17"/>
      <c r="G197" s="68">
        <f>E197/Dashboard!$M$7</f>
        <v>0</v>
      </c>
      <c r="H197" s="17" t="str">
        <f t="shared" si="1"/>
        <v/>
      </c>
      <c r="I197" s="8"/>
      <c r="J197" s="17"/>
      <c r="K197" s="75"/>
      <c r="L197" s="17"/>
      <c r="M197" s="68">
        <f>K197/Dashboard!$M$7</f>
        <v>0</v>
      </c>
      <c r="N197" s="17" t="str">
        <f t="shared" si="2"/>
        <v/>
      </c>
      <c r="O197" s="8"/>
      <c r="P197" s="8"/>
      <c r="Q197" s="8"/>
    </row>
    <row r="198">
      <c r="A198" s="76"/>
      <c r="B198" s="17"/>
      <c r="E198" s="75"/>
      <c r="F198" s="17"/>
      <c r="G198" s="68">
        <f>E198/Dashboard!$M$7</f>
        <v>0</v>
      </c>
      <c r="H198" s="17" t="str">
        <f t="shared" si="1"/>
        <v/>
      </c>
      <c r="I198" s="8"/>
      <c r="J198" s="17"/>
      <c r="K198" s="75"/>
      <c r="L198" s="17"/>
      <c r="M198" s="68">
        <f>K198/Dashboard!$M$7</f>
        <v>0</v>
      </c>
      <c r="N198" s="17" t="str">
        <f t="shared" si="2"/>
        <v/>
      </c>
      <c r="O198" s="8"/>
      <c r="P198" s="8"/>
      <c r="Q198" s="8"/>
    </row>
    <row r="199">
      <c r="A199" s="76"/>
      <c r="B199" s="17"/>
      <c r="E199" s="75"/>
      <c r="F199" s="17"/>
      <c r="G199" s="68">
        <f>E199/Dashboard!$M$7</f>
        <v>0</v>
      </c>
      <c r="H199" s="17" t="str">
        <f t="shared" si="1"/>
        <v/>
      </c>
      <c r="I199" s="8"/>
      <c r="J199" s="17"/>
      <c r="K199" s="75"/>
      <c r="L199" s="17"/>
      <c r="M199" s="68">
        <f>K199/Dashboard!$M$7</f>
        <v>0</v>
      </c>
      <c r="N199" s="17" t="str">
        <f t="shared" si="2"/>
        <v/>
      </c>
      <c r="O199" s="8"/>
      <c r="P199" s="8"/>
      <c r="Q199" s="8"/>
    </row>
    <row r="200">
      <c r="A200" s="76"/>
      <c r="B200" s="17"/>
      <c r="E200" s="75"/>
      <c r="F200" s="17"/>
      <c r="G200" s="68">
        <f>E200/Dashboard!$M$7</f>
        <v>0</v>
      </c>
      <c r="H200" s="17" t="str">
        <f t="shared" si="1"/>
        <v/>
      </c>
      <c r="I200" s="8"/>
      <c r="J200" s="17"/>
      <c r="K200" s="75"/>
      <c r="L200" s="17"/>
      <c r="M200" s="68">
        <f>K200/Dashboard!$M$7</f>
        <v>0</v>
      </c>
      <c r="N200" s="17" t="str">
        <f t="shared" si="2"/>
        <v/>
      </c>
      <c r="O200" s="8"/>
      <c r="P200" s="8"/>
      <c r="Q200" s="8"/>
    </row>
    <row r="201">
      <c r="A201" s="76"/>
      <c r="B201" s="17"/>
      <c r="E201" s="75"/>
      <c r="F201" s="17"/>
      <c r="G201" s="68">
        <f>E201/Dashboard!$M$7</f>
        <v>0</v>
      </c>
      <c r="H201" s="17" t="str">
        <f t="shared" si="1"/>
        <v/>
      </c>
      <c r="I201" s="8"/>
      <c r="J201" s="17"/>
      <c r="K201" s="75"/>
      <c r="L201" s="17"/>
      <c r="M201" s="68">
        <f>K201/Dashboard!$M$7</f>
        <v>0</v>
      </c>
      <c r="N201" s="17" t="str">
        <f t="shared" si="2"/>
        <v/>
      </c>
      <c r="O201" s="8"/>
      <c r="P201" s="8"/>
      <c r="Q201" s="8"/>
    </row>
    <row r="202">
      <c r="A202" s="76"/>
      <c r="B202" s="17"/>
      <c r="E202" s="75"/>
      <c r="F202" s="17"/>
      <c r="G202" s="68">
        <f>E202/Dashboard!$M$7</f>
        <v>0</v>
      </c>
      <c r="H202" s="17" t="str">
        <f t="shared" si="1"/>
        <v/>
      </c>
      <c r="I202" s="8"/>
      <c r="J202" s="17"/>
      <c r="K202" s="75"/>
      <c r="L202" s="17"/>
      <c r="M202" s="68">
        <f>K202/Dashboard!$M$7</f>
        <v>0</v>
      </c>
      <c r="N202" s="17" t="str">
        <f t="shared" si="2"/>
        <v/>
      </c>
      <c r="O202" s="8"/>
      <c r="P202" s="8"/>
      <c r="Q202" s="8"/>
    </row>
    <row r="203">
      <c r="A203" s="76"/>
      <c r="B203" s="17"/>
      <c r="E203" s="75"/>
      <c r="F203" s="17"/>
      <c r="G203" s="68">
        <f>E203/Dashboard!$M$7</f>
        <v>0</v>
      </c>
      <c r="H203" s="17" t="str">
        <f t="shared" si="1"/>
        <v/>
      </c>
      <c r="I203" s="8"/>
      <c r="J203" s="17"/>
      <c r="K203" s="75"/>
      <c r="L203" s="17"/>
      <c r="M203" s="68">
        <f>K203/Dashboard!$M$7</f>
        <v>0</v>
      </c>
      <c r="N203" s="17" t="str">
        <f t="shared" si="2"/>
        <v/>
      </c>
      <c r="O203" s="8"/>
      <c r="P203" s="8"/>
      <c r="Q203" s="8"/>
    </row>
    <row r="204">
      <c r="A204" s="76"/>
      <c r="B204" s="17"/>
      <c r="E204" s="75"/>
      <c r="F204" s="17"/>
      <c r="G204" s="68">
        <f>E204/Dashboard!$M$7</f>
        <v>0</v>
      </c>
      <c r="H204" s="17" t="str">
        <f t="shared" si="1"/>
        <v/>
      </c>
      <c r="I204" s="8"/>
      <c r="J204" s="17"/>
      <c r="K204" s="75"/>
      <c r="L204" s="17"/>
      <c r="M204" s="68">
        <f>K204/Dashboard!$M$7</f>
        <v>0</v>
      </c>
      <c r="N204" s="17" t="str">
        <f t="shared" si="2"/>
        <v/>
      </c>
      <c r="O204" s="8"/>
      <c r="P204" s="8"/>
      <c r="Q204" s="8"/>
    </row>
    <row r="205">
      <c r="A205" s="76"/>
      <c r="B205" s="17"/>
      <c r="E205" s="75"/>
      <c r="F205" s="17"/>
      <c r="G205" s="68">
        <f>E205/Dashboard!$M$7</f>
        <v>0</v>
      </c>
      <c r="H205" s="17" t="str">
        <f t="shared" si="1"/>
        <v/>
      </c>
      <c r="I205" s="8"/>
      <c r="J205" s="17"/>
      <c r="K205" s="75"/>
      <c r="L205" s="17"/>
      <c r="M205" s="68">
        <f>K205/Dashboard!$M$7</f>
        <v>0</v>
      </c>
      <c r="N205" s="17" t="str">
        <f t="shared" si="2"/>
        <v/>
      </c>
      <c r="O205" s="8"/>
      <c r="P205" s="8"/>
      <c r="Q205" s="8"/>
    </row>
    <row r="206">
      <c r="A206" s="76"/>
      <c r="B206" s="17"/>
      <c r="E206" s="75"/>
      <c r="F206" s="17"/>
      <c r="G206" s="68">
        <f>E206/Dashboard!$M$7</f>
        <v>0</v>
      </c>
      <c r="H206" s="17" t="str">
        <f t="shared" si="1"/>
        <v/>
      </c>
      <c r="I206" s="8"/>
      <c r="J206" s="17"/>
      <c r="K206" s="75"/>
      <c r="L206" s="17"/>
      <c r="M206" s="68">
        <f>K206/Dashboard!$M$7</f>
        <v>0</v>
      </c>
      <c r="N206" s="17" t="str">
        <f t="shared" si="2"/>
        <v/>
      </c>
      <c r="O206" s="8"/>
      <c r="P206" s="8"/>
      <c r="Q206" s="8"/>
    </row>
    <row r="207">
      <c r="A207" s="76"/>
      <c r="B207" s="17"/>
      <c r="E207" s="75"/>
      <c r="F207" s="17"/>
      <c r="G207" s="68">
        <f>E207/Dashboard!$M$7</f>
        <v>0</v>
      </c>
      <c r="H207" s="17" t="str">
        <f t="shared" si="1"/>
        <v/>
      </c>
      <c r="I207" s="8"/>
      <c r="J207" s="17"/>
      <c r="K207" s="75"/>
      <c r="L207" s="17"/>
      <c r="M207" s="68">
        <f>K207/Dashboard!$M$7</f>
        <v>0</v>
      </c>
      <c r="N207" s="17" t="str">
        <f t="shared" si="2"/>
        <v/>
      </c>
      <c r="O207" s="8"/>
      <c r="P207" s="8"/>
      <c r="Q207" s="8"/>
    </row>
    <row r="208">
      <c r="A208" s="76"/>
      <c r="B208" s="17"/>
      <c r="E208" s="75"/>
      <c r="F208" s="17"/>
      <c r="G208" s="68">
        <f>E208/Dashboard!$M$7</f>
        <v>0</v>
      </c>
      <c r="H208" s="17" t="str">
        <f t="shared" si="1"/>
        <v/>
      </c>
      <c r="I208" s="8"/>
      <c r="J208" s="17"/>
      <c r="K208" s="75"/>
      <c r="L208" s="17"/>
      <c r="M208" s="68">
        <f>K208/Dashboard!$M$7</f>
        <v>0</v>
      </c>
      <c r="N208" s="17" t="str">
        <f t="shared" si="2"/>
        <v/>
      </c>
      <c r="O208" s="8"/>
      <c r="P208" s="8"/>
      <c r="Q208" s="8"/>
    </row>
    <row r="209">
      <c r="A209" s="76"/>
      <c r="B209" s="17"/>
      <c r="E209" s="75"/>
      <c r="F209" s="17"/>
      <c r="G209" s="68">
        <f>E209/Dashboard!$M$7</f>
        <v>0</v>
      </c>
      <c r="H209" s="17" t="str">
        <f t="shared" si="1"/>
        <v/>
      </c>
      <c r="I209" s="8"/>
      <c r="J209" s="17"/>
      <c r="K209" s="75"/>
      <c r="L209" s="17"/>
      <c r="M209" s="68">
        <f>K209/Dashboard!$M$7</f>
        <v>0</v>
      </c>
      <c r="N209" s="17" t="str">
        <f t="shared" si="2"/>
        <v/>
      </c>
      <c r="O209" s="8"/>
      <c r="P209" s="8"/>
      <c r="Q209" s="8"/>
    </row>
    <row r="210">
      <c r="A210" s="76"/>
      <c r="B210" s="17"/>
      <c r="E210" s="75"/>
      <c r="F210" s="17"/>
      <c r="G210" s="68">
        <f>E210/Dashboard!$M$7</f>
        <v>0</v>
      </c>
      <c r="H210" s="17" t="str">
        <f t="shared" si="1"/>
        <v/>
      </c>
      <c r="I210" s="8"/>
      <c r="J210" s="17"/>
      <c r="K210" s="75"/>
      <c r="L210" s="17"/>
      <c r="M210" s="68">
        <f>K210/Dashboard!$M$7</f>
        <v>0</v>
      </c>
      <c r="N210" s="17" t="str">
        <f t="shared" si="2"/>
        <v/>
      </c>
      <c r="O210" s="8"/>
      <c r="P210" s="8"/>
      <c r="Q210" s="8"/>
    </row>
    <row r="211">
      <c r="A211" s="7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>
      <c r="A212" s="7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>
      <c r="A213" s="7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>
      <c r="A214" s="7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>
      <c r="A215" s="7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>
      <c r="A216" s="7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>
      <c r="A217" s="7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>
      <c r="A218" s="7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>
      <c r="A219" s="7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>
      <c r="A220" s="7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>
      <c r="A221" s="7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>
      <c r="A222" s="7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>
      <c r="A223" s="7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>
      <c r="A224" s="7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>
      <c r="A225" s="7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>
      <c r="A226" s="7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>
      <c r="A227" s="7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>
      <c r="A228" s="7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>
      <c r="A229" s="7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>
      <c r="A230" s="7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>
      <c r="A231" s="7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</row>
    <row r="1031">
      <c r="O1031" s="8"/>
      <c r="P1031" s="8"/>
      <c r="Q1031" s="8"/>
    </row>
    <row r="1032">
      <c r="O1032" s="8"/>
      <c r="P1032" s="8"/>
      <c r="Q1032" s="8"/>
    </row>
    <row r="1033">
      <c r="O1033" s="8"/>
      <c r="P1033" s="8"/>
      <c r="Q1033" s="8"/>
    </row>
    <row r="1034">
      <c r="O1034" s="8"/>
      <c r="P1034" s="8"/>
      <c r="Q1034" s="8"/>
    </row>
    <row r="1035">
      <c r="O1035" s="8"/>
      <c r="P1035" s="8"/>
      <c r="Q1035" s="8"/>
    </row>
    <row r="1036">
      <c r="O1036" s="8"/>
      <c r="P1036" s="8"/>
      <c r="Q1036" s="8"/>
    </row>
  </sheetData>
  <mergeCells count="211">
    <mergeCell ref="A1:H1"/>
    <mergeCell ref="J1:N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196:D196"/>
    <mergeCell ref="B197:D197"/>
    <mergeCell ref="B198:D198"/>
    <mergeCell ref="B199:D199"/>
    <mergeCell ref="B200:D200"/>
    <mergeCell ref="B201:D201"/>
    <mergeCell ref="B202:D202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</mergeCells>
  <conditionalFormatting sqref="G3:G216 M3:M216">
    <cfRule type="colorScale" priority="1">
      <colorScale>
        <cfvo type="min"/>
        <cfvo type="max"/>
        <color rgb="FFFFFFFF"/>
        <color rgb="FFFFF2CC"/>
      </colorScale>
    </cfRule>
  </conditionalFormatting>
  <dataValidations>
    <dataValidation type="list" allowBlank="1" showErrorMessage="1" sqref="F3:F210">
      <formula1>"Tabungan,Kebutuhan,Keinginan"</formula1>
    </dataValidation>
    <dataValidation type="list" allowBlank="1" showErrorMessage="1" sqref="L3:L210">
      <formula1>"Gaji,Tunjangan,Bonus,Hadiah,Penjualan,Sewa"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5" max="5" width="17.0"/>
    <col customWidth="1" min="6" max="6" width="18.0"/>
  </cols>
  <sheetData>
    <row r="1">
      <c r="A1" s="78" t="s">
        <v>25</v>
      </c>
      <c r="B1" s="79" t="s">
        <v>7</v>
      </c>
      <c r="C1" s="79" t="s">
        <v>4</v>
      </c>
      <c r="F1" s="80"/>
      <c r="G1" s="79" t="s">
        <v>7</v>
      </c>
      <c r="H1" s="79" t="s">
        <v>4</v>
      </c>
      <c r="I1" s="78" t="s">
        <v>4</v>
      </c>
      <c r="K1" s="81" t="s">
        <v>27</v>
      </c>
      <c r="L1" s="81" t="s">
        <v>3</v>
      </c>
      <c r="N1" s="81" t="s">
        <v>27</v>
      </c>
      <c r="O1" s="81" t="s">
        <v>3</v>
      </c>
      <c r="Q1" s="82" t="s">
        <v>1</v>
      </c>
      <c r="R1" s="83" t="s">
        <v>7</v>
      </c>
      <c r="S1" s="81" t="s">
        <v>4</v>
      </c>
    </row>
    <row r="2">
      <c r="A2" s="84">
        <f t="array" ref="A2:A26">SORT(UNIQUE({Budgeting!A3:A1000; Budgeting!J3:J1000}))
</f>
        <v>45658</v>
      </c>
      <c r="B2" s="85">
        <f t="array" ref="B2:B1000">IF(A2:A1000="",,SUMIF(Budgeting!A3:A1000, A2:A1000, Budgeting!E3:E1000))
</f>
        <v>100000</v>
      </c>
      <c r="C2" s="85">
        <f t="array" ref="C2:C1000">IF(A2:A1000="",,SUMIF(Budgeting!J3:J1000, A2:A1000, Budgeting!K3:K1000))
</f>
        <v>850000</v>
      </c>
      <c r="F2" s="84" t="str">
        <f>IFERROR(__xludf.DUMMYFUNCTION("SORT(
  UNIQUE(
    FILTER(TEXT(A2:A1000,""mmmm yyyy""), A2:A1000&lt;&gt;"""")
  ),
  MATCH(UNIQUE(FILTER(TEXT(A2:A1000,""mmmm yyyy""), A2:A1000&lt;&gt;"""")), TEXT(SORT(UNIQUE(A2:A1000)), ""mmmm yyyy""), 0),
  TRUE
)
"),"January 2025")</f>
        <v>January 2025</v>
      </c>
      <c r="G2" s="85">
        <f t="array" ref="G2:G1000">IF(F2:F1000="",,SUMIF(TEXT(A:A,"mmmm yyyy"), F2:F1000, B:B))
</f>
        <v>5858900</v>
      </c>
      <c r="H2" s="85">
        <f t="array" ref="H2:H1000">IF(F2:F1000="",,SUMIF(TEXT(A:A,"mmmm yyyy"), F2:F1000, C:C))
</f>
        <v>5000000</v>
      </c>
      <c r="K2" s="81" t="s">
        <v>13</v>
      </c>
      <c r="L2" s="86">
        <f>SUMIFS(Budgeting!E:E, Budgeting!F:F, "Tabungan", Budgeting!H:H, Dashboard!$A$6)</f>
        <v>1108900</v>
      </c>
      <c r="N2" s="81" t="s">
        <v>8</v>
      </c>
      <c r="O2" s="85">
        <f>SUMIFS(Budgeting!K:K, Budgeting!L:L, "Gaji", Budgeting!N:N, Dashboard!$A$6)</f>
        <v>2150000</v>
      </c>
      <c r="Q2" s="82" t="str">
        <f t="array" ref="Q2:Q1000">IF(A2:A1000="",, TEXT(A2:A1000, "mmmm yyyy"))
</f>
        <v>January 2025</v>
      </c>
      <c r="R2" s="87">
        <f>IF(LOWER(TRIM($Q2)) = LOWER(TRIM(Dashboard!$A$6)), B2, "")
</f>
        <v>100000</v>
      </c>
      <c r="S2" s="87">
        <f>IF(LOWER(TRIM($Q2)) = LOWER(TRIM(Dashboard!$A$6)), C2, "")
</f>
        <v>850000</v>
      </c>
      <c r="T2" s="84">
        <f>IF(LOWER(TRIM(TEXT($Q2, "mmmm yyyy"))) = LOWER(TRIM(Dashboard!$A$6)), A2:A1000, "")
</f>
        <v>45658</v>
      </c>
    </row>
    <row r="3">
      <c r="A3" s="84">
        <v>45659.0</v>
      </c>
      <c r="B3" s="85">
        <v>1000000.0</v>
      </c>
      <c r="C3" s="85">
        <v>1300000.0</v>
      </c>
      <c r="F3" s="84" t="str">
        <f>IFERROR(__xludf.DUMMYFUNCTION("""COMPUTED_VALUE"""),"February 2025")</f>
        <v>February 2025</v>
      </c>
      <c r="G3" s="85">
        <v>2780000.0</v>
      </c>
      <c r="H3" s="85">
        <v>4270000.0</v>
      </c>
      <c r="K3" s="81" t="s">
        <v>16</v>
      </c>
      <c r="L3" s="86">
        <f>SUMIFS(Budgeting!E:E, Budgeting!F:F, "Kebutuhan", Budgeting!H:H, Dashboard!$A$6)</f>
        <v>3810000</v>
      </c>
      <c r="N3" s="81" t="s">
        <v>10</v>
      </c>
      <c r="O3" s="85">
        <f>SUMIFS(Budgeting!K:K, Budgeting!L:L, "Tunjangan", Budgeting!N:N, Dashboard!$A$6)</f>
        <v>1500000</v>
      </c>
      <c r="Q3" s="82" t="s">
        <v>42</v>
      </c>
      <c r="R3" s="87">
        <f>IF(LOWER(TRIM($Q3)) = LOWER(TRIM(Dashboard!$A$6)), B3, "")
</f>
        <v>1000000</v>
      </c>
      <c r="S3" s="87">
        <f>IF(LOWER(TRIM($Q3)) = LOWER(TRIM(Dashboard!$A$6)), C3, "")
</f>
        <v>1300000</v>
      </c>
      <c r="T3" s="84">
        <f>IF(LOWER(TRIM(TEXT($Q3, "mmmm yyyy"))) = LOWER(TRIM(Dashboard!$A$6)), A3:A1000, "")
</f>
        <v>45659</v>
      </c>
    </row>
    <row r="4">
      <c r="A4" s="84">
        <v>45660.0</v>
      </c>
      <c r="B4" s="85">
        <v>1300000.0</v>
      </c>
      <c r="C4" s="85">
        <v>1000000.0</v>
      </c>
      <c r="F4" s="84" t="str">
        <f>IFERROR(__xludf.DUMMYFUNCTION("""COMPUTED_VALUE"""),"March 2025")</f>
        <v>March 2025</v>
      </c>
      <c r="G4" s="85">
        <v>8000.0</v>
      </c>
      <c r="H4" s="85">
        <v>0.0</v>
      </c>
      <c r="K4" s="81" t="s">
        <v>18</v>
      </c>
      <c r="L4" s="86">
        <f>SUMIFS(Budgeting!E:E, Budgeting!F:F, "Keinginan", Budgeting!H:H, Dashboard!$A$6)</f>
        <v>940000</v>
      </c>
      <c r="N4" s="81" t="s">
        <v>12</v>
      </c>
      <c r="O4" s="85">
        <f>SUMIFS(Budgeting!K:K, Budgeting!L:L, "Bonus", Budgeting!N:N, Dashboard!$A$6)</f>
        <v>300000</v>
      </c>
      <c r="Q4" s="82" t="s">
        <v>42</v>
      </c>
      <c r="R4" s="87">
        <f>IF(LOWER(TRIM($Q4)) = LOWER(TRIM(Dashboard!$A$6)), B4, "")
</f>
        <v>1300000</v>
      </c>
      <c r="S4" s="87">
        <f>IF(LOWER(TRIM($Q4)) = LOWER(TRIM(Dashboard!$A$6)), C4, "")
</f>
        <v>1000000</v>
      </c>
      <c r="T4" s="84">
        <f>IF(LOWER(TRIM(TEXT($Q4, "mmmm yyyy"))) = LOWER(TRIM(Dashboard!$A$6)), A4:A1000, "")
</f>
        <v>45660</v>
      </c>
    </row>
    <row r="5">
      <c r="A5" s="84">
        <v>45661.0</v>
      </c>
      <c r="B5" s="85">
        <v>300000.0</v>
      </c>
      <c r="C5" s="85">
        <v>300000.0</v>
      </c>
      <c r="F5" s="84"/>
      <c r="G5" s="85"/>
      <c r="H5" s="85"/>
      <c r="L5" s="86"/>
      <c r="N5" s="81" t="s">
        <v>14</v>
      </c>
      <c r="O5" s="85">
        <f>SUMIFS(Budgeting!K:K, Budgeting!L:L, "Hadiah", Budgeting!N:N, Dashboard!$A$6)</f>
        <v>350000</v>
      </c>
      <c r="Q5" s="82" t="s">
        <v>42</v>
      </c>
      <c r="R5" s="87">
        <f>IF(LOWER(TRIM($Q5)) = LOWER(TRIM(Dashboard!$A$6)), B5, "")
</f>
        <v>300000</v>
      </c>
      <c r="S5" s="87">
        <f>IF(LOWER(TRIM($Q5)) = LOWER(TRIM(Dashboard!$A$6)), C5, "")
</f>
        <v>300000</v>
      </c>
      <c r="T5" s="84">
        <f>IF(LOWER(TRIM(TEXT($Q5, "mmmm yyyy"))) = LOWER(TRIM(Dashboard!$A$6)), A5:A1000, "")
</f>
        <v>45661</v>
      </c>
    </row>
    <row r="6">
      <c r="A6" s="84">
        <v>45662.0</v>
      </c>
      <c r="B6" s="85">
        <v>350000.0</v>
      </c>
      <c r="C6" s="85">
        <v>350000.0</v>
      </c>
      <c r="F6" s="84"/>
      <c r="G6" s="85"/>
      <c r="H6" s="85"/>
      <c r="L6" s="86"/>
      <c r="N6" s="81" t="s">
        <v>17</v>
      </c>
      <c r="O6" s="85">
        <f>SUMIFS(Budgeting!K:K, Budgeting!L:L, "Penjualan", Budgeting!N:N, Dashboard!$A$6)</f>
        <v>350000</v>
      </c>
      <c r="Q6" s="82" t="s">
        <v>42</v>
      </c>
      <c r="R6" s="87">
        <f>IF(LOWER(TRIM($Q6)) = LOWER(TRIM(Dashboard!$A$6)), B6, "")
</f>
        <v>350000</v>
      </c>
      <c r="S6" s="87">
        <f>IF(LOWER(TRIM($Q6)) = LOWER(TRIM(Dashboard!$A$6)), C6, "")
</f>
        <v>350000</v>
      </c>
      <c r="T6" s="84">
        <f>IF(LOWER(TRIM(TEXT($Q6, "mmmm yyyy"))) = LOWER(TRIM(Dashboard!$A$6)), A6:A1000, "")
</f>
        <v>45662</v>
      </c>
    </row>
    <row r="7">
      <c r="A7" s="84">
        <v>45663.0</v>
      </c>
      <c r="B7" s="85">
        <v>350000.0</v>
      </c>
      <c r="C7" s="85">
        <v>350000.0</v>
      </c>
      <c r="F7" s="84"/>
      <c r="G7" s="85"/>
      <c r="H7" s="85"/>
      <c r="L7" s="86"/>
      <c r="N7" s="81" t="s">
        <v>19</v>
      </c>
      <c r="O7" s="85">
        <f>SUMIFS(Budgeting!K:K, Budgeting!L:L, "Sewa", Budgeting!N:N, Dashboard!$A$6)</f>
        <v>350000</v>
      </c>
      <c r="Q7" s="82" t="s">
        <v>42</v>
      </c>
      <c r="R7" s="87">
        <f>IF(LOWER(TRIM($Q7)) = LOWER(TRIM(Dashboard!$A$6)), B7, "")
</f>
        <v>350000</v>
      </c>
      <c r="S7" s="87">
        <f>IF(LOWER(TRIM($Q7)) = LOWER(TRIM(Dashboard!$A$6)), C7, "")
</f>
        <v>350000</v>
      </c>
      <c r="T7" s="84">
        <f>IF(LOWER(TRIM(TEXT($Q7, "mmmm yyyy"))) = LOWER(TRIM(Dashboard!$A$6)), A7:A1000, "")
</f>
        <v>45663</v>
      </c>
    </row>
    <row r="8">
      <c r="A8" s="84">
        <v>45664.0</v>
      </c>
      <c r="B8" s="85">
        <v>500000.0</v>
      </c>
      <c r="C8" s="85">
        <v>500000.0</v>
      </c>
      <c r="F8" s="84"/>
      <c r="G8" s="85"/>
      <c r="H8" s="85"/>
      <c r="L8" s="86"/>
      <c r="Q8" s="82" t="s">
        <v>42</v>
      </c>
      <c r="R8" s="87">
        <f>IF(LOWER(TRIM($Q8)) = LOWER(TRIM(Dashboard!$A$6)), B8, "")
</f>
        <v>500000</v>
      </c>
      <c r="S8" s="87">
        <f>IF(LOWER(TRIM($Q8)) = LOWER(TRIM(Dashboard!$A$6)), C8, "")
</f>
        <v>500000</v>
      </c>
      <c r="T8" s="84">
        <f>IF(LOWER(TRIM(TEXT($Q8, "mmmm yyyy"))) = LOWER(TRIM(Dashboard!$A$6)), A8:A1000, "")
</f>
        <v>45664</v>
      </c>
    </row>
    <row r="9">
      <c r="A9" s="84">
        <v>45665.0</v>
      </c>
      <c r="B9" s="85">
        <v>350000.0</v>
      </c>
      <c r="C9" s="85">
        <v>350000.0</v>
      </c>
      <c r="F9" s="84"/>
      <c r="G9" s="85"/>
      <c r="H9" s="85"/>
      <c r="L9" s="86"/>
      <c r="Q9" s="82" t="s">
        <v>42</v>
      </c>
      <c r="R9" s="87">
        <f>IF(LOWER(TRIM($Q9)) = LOWER(TRIM(Dashboard!$A$6)), B9, "")
</f>
        <v>350000</v>
      </c>
      <c r="S9" s="87">
        <f>IF(LOWER(TRIM($Q9)) = LOWER(TRIM(Dashboard!$A$6)), C9, "")
</f>
        <v>350000</v>
      </c>
      <c r="T9" s="84">
        <f>IF(LOWER(TRIM(TEXT($Q9, "mmmm yyyy"))) = LOWER(TRIM(Dashboard!$A$6)), A9:A1000, "")
</f>
        <v>45665</v>
      </c>
    </row>
    <row r="10">
      <c r="A10" s="84">
        <v>45667.0</v>
      </c>
      <c r="B10" s="85">
        <v>60000.0</v>
      </c>
      <c r="C10" s="85">
        <v>0.0</v>
      </c>
      <c r="F10" s="84"/>
      <c r="G10" s="85"/>
      <c r="H10" s="85"/>
      <c r="L10" s="86"/>
      <c r="Q10" s="82" t="s">
        <v>42</v>
      </c>
      <c r="R10" s="87">
        <f>IF(LOWER(TRIM($Q10)) = LOWER(TRIM(Dashboard!$A$6)), B10, "")
</f>
        <v>60000</v>
      </c>
      <c r="S10" s="87">
        <f>IF(LOWER(TRIM($Q10)) = LOWER(TRIM(Dashboard!$A$6)), C10, "")
</f>
        <v>0</v>
      </c>
      <c r="T10" s="84">
        <f>IF(LOWER(TRIM(TEXT($Q10, "mmmm yyyy"))) = LOWER(TRIM(Dashboard!$A$6)), A10:A1000, "")
</f>
        <v>45667</v>
      </c>
    </row>
    <row r="11">
      <c r="A11" s="84">
        <v>45668.0</v>
      </c>
      <c r="B11" s="85">
        <v>500000.0</v>
      </c>
      <c r="C11" s="85">
        <v>0.0</v>
      </c>
      <c r="F11" s="84"/>
      <c r="G11" s="85"/>
      <c r="H11" s="85"/>
      <c r="L11" s="86"/>
      <c r="Q11" s="82" t="s">
        <v>42</v>
      </c>
      <c r="R11" s="87">
        <f>IF(LOWER(TRIM($Q11)) = LOWER(TRIM(Dashboard!$A$6)), B11, "")
</f>
        <v>500000</v>
      </c>
      <c r="S11" s="87">
        <f>IF(LOWER(TRIM($Q11)) = LOWER(TRIM(Dashboard!$A$6)), C11, "")
</f>
        <v>0</v>
      </c>
      <c r="T11" s="84">
        <f>IF(LOWER(TRIM(TEXT($Q11, "mmmm yyyy"))) = LOWER(TRIM(Dashboard!$A$6)), A11:A1000, "")
</f>
        <v>45668</v>
      </c>
    </row>
    <row r="12">
      <c r="A12" s="88">
        <v>45670.0</v>
      </c>
      <c r="B12" s="85">
        <v>90000.0</v>
      </c>
      <c r="C12" s="85">
        <v>0.0</v>
      </c>
      <c r="F12" s="84"/>
      <c r="G12" s="85"/>
      <c r="H12" s="85"/>
      <c r="L12" s="86"/>
      <c r="Q12" s="82" t="s">
        <v>42</v>
      </c>
      <c r="R12" s="87">
        <f>IF(LOWER(TRIM($Q12)) = LOWER(TRIM(Dashboard!$A$6)), B12, "")
</f>
        <v>90000</v>
      </c>
      <c r="S12" s="87">
        <f>IF(LOWER(TRIM($Q12)) = LOWER(TRIM(Dashboard!$A$6)), C12, "")
</f>
        <v>0</v>
      </c>
      <c r="T12" s="89">
        <f>IF(LOWER(TRIM(TEXT($Q12, "mmmm yyyy"))) = LOWER(TRIM(Dashboard!$A$6)), A12:A1000, "")
</f>
        <v>45670</v>
      </c>
    </row>
    <row r="13">
      <c r="A13" s="84">
        <v>45671.0</v>
      </c>
      <c r="B13" s="85">
        <v>90000.0</v>
      </c>
      <c r="C13" s="85">
        <v>0.0</v>
      </c>
      <c r="E13" s="81" t="str">
        <f t="array" ref="E13">IF(A13&lt;&gt;"", UNIQUE(TEXT(A13, "mmmm yyyy")), "")
</f>
        <v>January 2025</v>
      </c>
      <c r="F13" s="84"/>
      <c r="G13" s="85"/>
      <c r="H13" s="85"/>
      <c r="L13" s="86"/>
      <c r="Q13" s="82" t="s">
        <v>42</v>
      </c>
      <c r="R13" s="87">
        <f>IF(LOWER(TRIM($Q13)) = LOWER(TRIM(Dashboard!$A$6)), B13, "")
</f>
        <v>90000</v>
      </c>
      <c r="S13" s="87">
        <f>IF(LOWER(TRIM($Q13)) = LOWER(TRIM(Dashboard!$A$6)), C13, "")
</f>
        <v>0</v>
      </c>
      <c r="T13" s="84">
        <f>IF(LOWER(TRIM(TEXT($Q13, "mmmm yyyy"))) = LOWER(TRIM(Dashboard!$A$6)), A13:A1000, "")
</f>
        <v>45671</v>
      </c>
    </row>
    <row r="14">
      <c r="A14" s="84">
        <v>45673.0</v>
      </c>
      <c r="B14" s="85">
        <v>60000.0</v>
      </c>
      <c r="C14" s="85">
        <v>0.0</v>
      </c>
      <c r="E14" s="81" t="str">
        <f t="shared" ref="E14:E527" si="1">IF(A14&lt;&gt;"", TEXT(A14, "mmmm yyyy"), "")
</f>
        <v>January 2025</v>
      </c>
      <c r="F14" s="84"/>
      <c r="G14" s="85"/>
      <c r="H14" s="85"/>
      <c r="L14" s="86"/>
      <c r="Q14" s="82" t="s">
        <v>42</v>
      </c>
      <c r="R14" s="87">
        <f>IF(LOWER(TRIM($Q14)) = LOWER(TRIM(Dashboard!$A$6)), B14, "")
</f>
        <v>60000</v>
      </c>
      <c r="S14" s="87">
        <f>IF(LOWER(TRIM($Q14)) = LOWER(TRIM(Dashboard!$A$6)), C14, "")
</f>
        <v>0</v>
      </c>
      <c r="T14" s="84">
        <f>IF(LOWER(TRIM(TEXT($Q14, "mmmm yyyy"))) = LOWER(TRIM(Dashboard!$A$6)), A14:A1000, "")
</f>
        <v>45673</v>
      </c>
    </row>
    <row r="15">
      <c r="A15" s="84">
        <v>45675.0</v>
      </c>
      <c r="B15" s="85">
        <v>800000.0</v>
      </c>
      <c r="C15" s="85">
        <v>0.0</v>
      </c>
      <c r="E15" s="81" t="str">
        <f t="shared" si="1"/>
        <v>January 2025</v>
      </c>
      <c r="F15" s="84"/>
      <c r="G15" s="85"/>
      <c r="H15" s="85"/>
      <c r="J15" s="90" t="s">
        <v>43</v>
      </c>
      <c r="L15" s="86"/>
      <c r="Q15" s="82" t="s">
        <v>42</v>
      </c>
      <c r="R15" s="87">
        <f>IF(LOWER(TRIM($Q15)) = LOWER(TRIM(Dashboard!$A$6)), B15, "")
</f>
        <v>800000</v>
      </c>
      <c r="S15" s="87">
        <f>IF(LOWER(TRIM($Q15)) = LOWER(TRIM(Dashboard!$A$6)), C15, "")
</f>
        <v>0</v>
      </c>
      <c r="T15" s="84">
        <f>IF(LOWER(TRIM(TEXT($Q15, "mmmm yyyy"))) = LOWER(TRIM(Dashboard!$A$6)), A15:A1000, "")
</f>
        <v>45675</v>
      </c>
    </row>
    <row r="16">
      <c r="A16" s="84">
        <v>45680.0</v>
      </c>
      <c r="B16" s="85">
        <v>8900.0</v>
      </c>
      <c r="C16" s="85">
        <v>0.0</v>
      </c>
      <c r="E16" s="81" t="str">
        <f t="shared" si="1"/>
        <v>January 2025</v>
      </c>
      <c r="F16" s="84"/>
      <c r="G16" s="85"/>
      <c r="H16" s="85"/>
      <c r="L16" s="86"/>
      <c r="Q16" s="82" t="s">
        <v>42</v>
      </c>
      <c r="R16" s="87">
        <f>IF(LOWER(TRIM($Q16)) = LOWER(TRIM(Dashboard!$A$6)), B16, "")
</f>
        <v>8900</v>
      </c>
      <c r="S16" s="87">
        <f>IF(LOWER(TRIM($Q16)) = LOWER(TRIM(Dashboard!$A$6)), C16, "")
</f>
        <v>0</v>
      </c>
      <c r="T16" s="84">
        <f>IF(LOWER(TRIM(TEXT($Q16, "mmmm yyyy"))) = LOWER(TRIM(Dashboard!$A$6)), A16:A1000, "")
</f>
        <v>45680</v>
      </c>
    </row>
    <row r="17">
      <c r="A17" s="84">
        <v>45689.0</v>
      </c>
      <c r="B17" s="85">
        <v>100000.0</v>
      </c>
      <c r="C17" s="85">
        <v>2000000.0</v>
      </c>
      <c r="E17" s="81" t="str">
        <f t="shared" si="1"/>
        <v>February 2025</v>
      </c>
      <c r="F17" s="84"/>
      <c r="G17" s="85"/>
      <c r="H17" s="85"/>
      <c r="L17" s="86"/>
      <c r="Q17" s="82" t="s">
        <v>44</v>
      </c>
      <c r="R17" s="87" t="str">
        <f>IF(LOWER(TRIM($Q17)) = LOWER(TRIM(Dashboard!$A$6)), B17, "")
</f>
        <v/>
      </c>
      <c r="S17" s="87" t="str">
        <f>IF(LOWER(TRIM($Q17)) = LOWER(TRIM(Dashboard!$A$6)), C17, "")
</f>
        <v/>
      </c>
      <c r="T17" s="91" t="str">
        <f>IF(LOWER(TRIM(TEXT($Q17, "mmmm yyyy"))) = LOWER(TRIM(Dashboard!$A$6)), A17:A1000, "")
</f>
        <v/>
      </c>
    </row>
    <row r="18">
      <c r="A18" s="84">
        <v>45690.0</v>
      </c>
      <c r="B18" s="85">
        <v>780000.0</v>
      </c>
      <c r="C18" s="85">
        <v>1000000.0</v>
      </c>
      <c r="E18" s="81" t="str">
        <f t="shared" si="1"/>
        <v>February 2025</v>
      </c>
      <c r="F18" s="84"/>
      <c r="G18" s="85"/>
      <c r="H18" s="85"/>
      <c r="L18" s="86"/>
      <c r="Q18" s="82" t="s">
        <v>44</v>
      </c>
      <c r="R18" s="87" t="str">
        <f>IF(LOWER(TRIM($Q18)) = LOWER(TRIM(Dashboard!$A$6)), B18, "")
</f>
        <v/>
      </c>
      <c r="S18" s="87" t="str">
        <f>IF(LOWER(TRIM($Q18)) = LOWER(TRIM(Dashboard!$A$6)), C18, "")
</f>
        <v/>
      </c>
      <c r="T18" s="91" t="str">
        <f>IF(LOWER(TRIM(TEXT($Q18, "mmmm yyyy"))) = LOWER(TRIM(Dashboard!$A$6)), A18:A1000, "")
</f>
        <v/>
      </c>
    </row>
    <row r="19">
      <c r="A19" s="84">
        <v>45691.0</v>
      </c>
      <c r="B19" s="85">
        <v>1000000.0</v>
      </c>
      <c r="C19" s="85">
        <v>0.0</v>
      </c>
      <c r="E19" s="81" t="str">
        <f t="shared" si="1"/>
        <v>February 2025</v>
      </c>
      <c r="F19" s="84"/>
      <c r="G19" s="85"/>
      <c r="H19" s="85"/>
      <c r="L19" s="86"/>
      <c r="Q19" s="91" t="s">
        <v>44</v>
      </c>
      <c r="R19" s="87" t="str">
        <f>IF(LOWER(TRIM($Q19)) = LOWER(TRIM(Dashboard!$A$6)), B19, "")
</f>
        <v/>
      </c>
      <c r="S19" s="87" t="str">
        <f>IF(LOWER(TRIM($Q19)) = LOWER(TRIM(Dashboard!$A$6)), C19, "")
</f>
        <v/>
      </c>
      <c r="T19" s="91" t="str">
        <f>IF(LOWER(TRIM(TEXT($Q19, "mmmm yyyy"))) = LOWER(TRIM(Dashboard!$A$6)), A19:A1000, "")
</f>
        <v/>
      </c>
    </row>
    <row r="20">
      <c r="A20" s="89">
        <v>45696.0</v>
      </c>
      <c r="B20" s="85">
        <v>0.0</v>
      </c>
      <c r="C20" s="85">
        <v>70000.0</v>
      </c>
      <c r="E20" s="81" t="str">
        <f t="shared" si="1"/>
        <v>February 2025</v>
      </c>
      <c r="F20" s="84"/>
      <c r="G20" s="85"/>
      <c r="H20" s="85"/>
      <c r="L20" s="86"/>
      <c r="Q20" s="91" t="s">
        <v>44</v>
      </c>
      <c r="R20" s="87" t="str">
        <f>IF(LOWER(TRIM($Q20)) = LOWER(TRIM(Dashboard!$A$6)), B20, "")
</f>
        <v/>
      </c>
      <c r="S20" s="87" t="str">
        <f>IF(LOWER(TRIM($Q20)) = LOWER(TRIM(Dashboard!$A$6)), C20, "")
</f>
        <v/>
      </c>
      <c r="T20" s="91" t="str">
        <f>IF(LOWER(TRIM(TEXT($Q20, "mmmm yyyy"))) = LOWER(TRIM(Dashboard!$A$6)), A20:A1000, "")
</f>
        <v/>
      </c>
    </row>
    <row r="21">
      <c r="A21" s="89">
        <v>45698.0</v>
      </c>
      <c r="B21" s="85">
        <v>0.0</v>
      </c>
      <c r="C21" s="85">
        <v>250000.0</v>
      </c>
      <c r="E21" s="81" t="str">
        <f t="shared" si="1"/>
        <v>February 2025</v>
      </c>
      <c r="F21" s="84"/>
      <c r="G21" s="85"/>
      <c r="H21" s="85"/>
      <c r="L21" s="86"/>
      <c r="Q21" s="91" t="s">
        <v>44</v>
      </c>
      <c r="R21" s="87" t="str">
        <f>IF(LOWER(TRIM($Q21)) = LOWER(TRIM(Dashboard!$A$6)), B21, "")
</f>
        <v/>
      </c>
      <c r="S21" s="87" t="str">
        <f>IF(LOWER(TRIM($Q21)) = LOWER(TRIM(Dashboard!$A$6)), C21, "")
</f>
        <v/>
      </c>
      <c r="T21" s="91" t="str">
        <f>IF(LOWER(TRIM(TEXT($Q21, "mmmm yyyy"))) = LOWER(TRIM(Dashboard!$A$6)), A21:A1000, "")
</f>
        <v/>
      </c>
    </row>
    <row r="22">
      <c r="A22" s="84">
        <v>45702.0</v>
      </c>
      <c r="B22" s="85">
        <v>400000.0</v>
      </c>
      <c r="C22" s="85">
        <v>0.0</v>
      </c>
      <c r="E22" s="81" t="str">
        <f t="shared" si="1"/>
        <v>February 2025</v>
      </c>
      <c r="F22" s="84"/>
      <c r="G22" s="85"/>
      <c r="H22" s="85"/>
      <c r="L22" s="86"/>
      <c r="Q22" s="91" t="s">
        <v>44</v>
      </c>
      <c r="R22" s="87" t="str">
        <f>IF(LOWER(TRIM($Q22)) = LOWER(TRIM(Dashboard!$A$6)), B22, "")
</f>
        <v/>
      </c>
      <c r="S22" s="87" t="str">
        <f>IF(LOWER(TRIM($Q22)) = LOWER(TRIM(Dashboard!$A$6)), C22, "")
</f>
        <v/>
      </c>
      <c r="T22" s="91" t="str">
        <f>IF(LOWER(TRIM(TEXT($Q22, "mmmm yyyy"))) = LOWER(TRIM(Dashboard!$A$6)), A22:A1000, "")
</f>
        <v/>
      </c>
    </row>
    <row r="23">
      <c r="A23" s="84">
        <v>45703.0</v>
      </c>
      <c r="B23" s="85">
        <v>500000.0</v>
      </c>
      <c r="C23" s="85">
        <v>0.0</v>
      </c>
      <c r="E23" s="81" t="str">
        <f t="shared" si="1"/>
        <v>February 2025</v>
      </c>
      <c r="F23" s="84"/>
      <c r="G23" s="85"/>
      <c r="H23" s="85"/>
      <c r="L23" s="86"/>
      <c r="Q23" s="91" t="s">
        <v>44</v>
      </c>
      <c r="R23" s="87" t="str">
        <f>IF(LOWER(TRIM($Q23)) = LOWER(TRIM(Dashboard!$A$6)), B23, "")
</f>
        <v/>
      </c>
      <c r="S23" s="87" t="str">
        <f>IF(LOWER(TRIM($Q23)) = LOWER(TRIM(Dashboard!$A$6)), C23, "")
</f>
        <v/>
      </c>
      <c r="T23" s="91" t="str">
        <f>IF(LOWER(TRIM(TEXT($Q23, "mmmm yyyy"))) = LOWER(TRIM(Dashboard!$A$6)), A23:A1000, "")
</f>
        <v/>
      </c>
    </row>
    <row r="24">
      <c r="A24" s="89">
        <v>45711.0</v>
      </c>
      <c r="B24" s="85">
        <v>0.0</v>
      </c>
      <c r="C24" s="85">
        <v>950000.0</v>
      </c>
      <c r="E24" s="81" t="str">
        <f t="shared" si="1"/>
        <v>February 2025</v>
      </c>
      <c r="F24" s="84"/>
      <c r="G24" s="85"/>
      <c r="H24" s="85"/>
      <c r="L24" s="86"/>
      <c r="Q24" s="91" t="s">
        <v>44</v>
      </c>
      <c r="R24" s="87" t="str">
        <f>IF(LOWER(TRIM($Q24)) = LOWER(TRIM(Dashboard!$A$6)), B24, "")
</f>
        <v/>
      </c>
      <c r="S24" s="87" t="str">
        <f>IF(LOWER(TRIM($Q24)) = LOWER(TRIM(Dashboard!$A$6)), C24, "")
</f>
        <v/>
      </c>
      <c r="T24" s="91" t="str">
        <f>IF(LOWER(TRIM(TEXT($Q24, "mmmm yyyy"))) = LOWER(TRIM(Dashboard!$A$6)), A24:A1000, "")
</f>
        <v/>
      </c>
    </row>
    <row r="25">
      <c r="A25" s="84">
        <v>45732.0</v>
      </c>
      <c r="B25" s="85">
        <v>8000.0</v>
      </c>
      <c r="C25" s="85">
        <v>0.0</v>
      </c>
      <c r="E25" s="81" t="str">
        <f t="shared" si="1"/>
        <v>March 2025</v>
      </c>
      <c r="F25" s="84"/>
      <c r="G25" s="85"/>
      <c r="H25" s="85"/>
      <c r="L25" s="86"/>
      <c r="Q25" s="91" t="s">
        <v>45</v>
      </c>
      <c r="R25" s="87" t="str">
        <f>IF(LOWER(TRIM($Q25)) = LOWER(TRIM(Dashboard!$A$6)), B25, "")
</f>
        <v/>
      </c>
      <c r="S25" s="87" t="str">
        <f>IF(LOWER(TRIM($Q25)) = LOWER(TRIM(Dashboard!$A$6)), C25, "")
</f>
        <v/>
      </c>
      <c r="T25" s="91" t="str">
        <f>IF(LOWER(TRIM(TEXT($Q25, "mmmm yyyy"))) = LOWER(TRIM(Dashboard!$A$6)), A25:A1000, "")
</f>
        <v/>
      </c>
    </row>
    <row r="26">
      <c r="A26" s="84"/>
      <c r="B26" s="85"/>
      <c r="C26" s="85"/>
      <c r="E26" s="81" t="str">
        <f t="shared" si="1"/>
        <v/>
      </c>
      <c r="F26" s="84"/>
      <c r="G26" s="85"/>
      <c r="H26" s="85"/>
      <c r="L26" s="86"/>
      <c r="Q26" s="91"/>
      <c r="R26" s="87" t="str">
        <f>IF(LOWER(TRIM($Q26)) = LOWER(TRIM(Dashboard!$A$6)), B26, "")
</f>
        <v/>
      </c>
      <c r="S26" s="87" t="str">
        <f>IF(LOWER(TRIM($Q26)) = LOWER(TRIM(Dashboard!$A$6)), C26, "")
</f>
        <v/>
      </c>
      <c r="T26" s="91" t="str">
        <f>IF(LOWER(TRIM(TEXT($Q26, "mmmm yyyy"))) = LOWER(TRIM(Dashboard!$A$6)), A26:A1000, "")
</f>
        <v/>
      </c>
    </row>
    <row r="27">
      <c r="B27" s="85"/>
      <c r="C27" s="85"/>
      <c r="E27" s="81" t="str">
        <f t="shared" si="1"/>
        <v/>
      </c>
      <c r="F27" s="84"/>
      <c r="G27" s="85"/>
      <c r="H27" s="85"/>
      <c r="L27" s="86"/>
      <c r="Q27" s="91"/>
      <c r="R27" s="87" t="str">
        <f>IF(LOWER(TRIM($Q27)) = LOWER(TRIM(Dashboard!$A$6)), B27, "")
</f>
        <v/>
      </c>
      <c r="S27" s="87" t="str">
        <f>IF(LOWER(TRIM($Q27)) = LOWER(TRIM(Dashboard!$A$6)), C27, "")
</f>
        <v/>
      </c>
      <c r="T27" s="91" t="str">
        <f>IF(LOWER(TRIM(TEXT($Q27, "mmmm yyyy"))) = LOWER(TRIM(Dashboard!$A$6)), A27:A1000, "")
</f>
        <v/>
      </c>
    </row>
    <row r="28">
      <c r="B28" s="85"/>
      <c r="C28" s="85"/>
      <c r="E28" s="81" t="str">
        <f t="shared" si="1"/>
        <v/>
      </c>
      <c r="F28" s="84"/>
      <c r="G28" s="85"/>
      <c r="H28" s="85"/>
      <c r="L28" s="86"/>
      <c r="Q28" s="91"/>
      <c r="R28" s="87" t="str">
        <f>IF(LOWER(TRIM($Q28)) = LOWER(TRIM(Dashboard!$A$6)), B28, "")
</f>
        <v/>
      </c>
      <c r="S28" s="87" t="str">
        <f>IF(LOWER(TRIM($Q28)) = LOWER(TRIM(Dashboard!$A$6)), C28, "")
</f>
        <v/>
      </c>
      <c r="T28" s="91" t="str">
        <f>IF(LOWER(TRIM(TEXT($Q28, "mmmm yyyy"))) = LOWER(TRIM(Dashboard!$A$6)), A28:A1000, "")
</f>
        <v/>
      </c>
    </row>
    <row r="29">
      <c r="B29" s="85"/>
      <c r="C29" s="85"/>
      <c r="E29" s="81" t="str">
        <f t="shared" si="1"/>
        <v/>
      </c>
      <c r="F29" s="84"/>
      <c r="G29" s="85"/>
      <c r="H29" s="85"/>
      <c r="L29" s="86"/>
      <c r="Q29" s="91"/>
      <c r="R29" s="87" t="str">
        <f>IF(LOWER(TRIM($Q29)) = LOWER(TRIM(Dashboard!$A$6)), B29, "")
</f>
        <v/>
      </c>
      <c r="S29" s="87" t="str">
        <f>IF(LOWER(TRIM($Q29)) = LOWER(TRIM(Dashboard!$A$6)), C29, "")
</f>
        <v/>
      </c>
      <c r="T29" s="91" t="str">
        <f>IF(LOWER(TRIM(TEXT($Q29, "mmmm yyyy"))) = LOWER(TRIM(Dashboard!$A$6)), A29:A1000, "")
</f>
        <v/>
      </c>
    </row>
    <row r="30">
      <c r="B30" s="85"/>
      <c r="C30" s="85"/>
      <c r="E30" s="81" t="str">
        <f t="shared" si="1"/>
        <v/>
      </c>
      <c r="F30" s="84"/>
      <c r="G30" s="85"/>
      <c r="H30" s="85"/>
      <c r="L30" s="86"/>
      <c r="Q30" s="91"/>
      <c r="R30" s="87" t="str">
        <f>IF(LOWER(TRIM($Q30)) = LOWER(TRIM(Dashboard!$A$6)), B30, "")
</f>
        <v/>
      </c>
      <c r="S30" s="87" t="str">
        <f>IF(LOWER(TRIM($Q30)) = LOWER(TRIM(Dashboard!$A$6)), C30, "")
</f>
        <v/>
      </c>
      <c r="T30" s="91" t="str">
        <f>IF(LOWER(TRIM(TEXT($Q30, "mmmm yyyy"))) = LOWER(TRIM(Dashboard!$A$6)), A30:A1000, "")
</f>
        <v/>
      </c>
    </row>
    <row r="31">
      <c r="B31" s="85"/>
      <c r="C31" s="85"/>
      <c r="E31" s="81" t="str">
        <f t="shared" si="1"/>
        <v/>
      </c>
      <c r="F31" s="84"/>
      <c r="G31" s="85"/>
      <c r="H31" s="85"/>
      <c r="L31" s="86"/>
      <c r="Q31" s="91"/>
      <c r="R31" s="87" t="str">
        <f>IF(LOWER(TRIM($Q31)) = LOWER(TRIM(Dashboard!$A$6)), B31, "")
</f>
        <v/>
      </c>
      <c r="S31" s="87" t="str">
        <f>IF(LOWER(TRIM($Q31)) = LOWER(TRIM(Dashboard!$A$6)), C31, "")
</f>
        <v/>
      </c>
      <c r="T31" s="91" t="str">
        <f>IF(LOWER(TRIM(TEXT($Q31, "mmmm yyyy"))) = LOWER(TRIM(Dashboard!$A$6)), A31:A1000, "")
</f>
        <v/>
      </c>
    </row>
    <row r="32">
      <c r="B32" s="85"/>
      <c r="C32" s="85"/>
      <c r="E32" s="81" t="str">
        <f t="shared" si="1"/>
        <v/>
      </c>
      <c r="F32" s="84"/>
      <c r="G32" s="85"/>
      <c r="H32" s="85"/>
      <c r="L32" s="86"/>
      <c r="Q32" s="91"/>
      <c r="R32" s="87" t="str">
        <f>IF(LOWER(TRIM($Q32)) = LOWER(TRIM(Dashboard!$A$6)), B32, "")
</f>
        <v/>
      </c>
      <c r="S32" s="87" t="str">
        <f>IF(LOWER(TRIM($Q32)) = LOWER(TRIM(Dashboard!$A$6)), C32, "")
</f>
        <v/>
      </c>
      <c r="T32" s="91" t="str">
        <f>IF(LOWER(TRIM(TEXT($Q32, "mmmm yyyy"))) = LOWER(TRIM(Dashboard!$A$6)), A32:A1000, "")
</f>
        <v/>
      </c>
    </row>
    <row r="33">
      <c r="B33" s="85"/>
      <c r="C33" s="85"/>
      <c r="E33" s="81" t="str">
        <f t="shared" si="1"/>
        <v/>
      </c>
      <c r="F33" s="84"/>
      <c r="G33" s="85"/>
      <c r="H33" s="85"/>
      <c r="L33" s="86"/>
      <c r="Q33" s="91"/>
      <c r="R33" s="87" t="str">
        <f>IF(LOWER(TRIM($Q33)) = LOWER(TRIM(Dashboard!$A$6)), B33, "")
</f>
        <v/>
      </c>
      <c r="S33" s="87" t="str">
        <f>IF(LOWER(TRIM($Q33)) = LOWER(TRIM(Dashboard!$A$6)), C33, "")
</f>
        <v/>
      </c>
      <c r="T33" s="91" t="str">
        <f>IF(LOWER(TRIM(TEXT($Q33, "mmmm yyyy"))) = LOWER(TRIM(Dashboard!$A$6)), A33:A1000, "")
</f>
        <v/>
      </c>
    </row>
    <row r="34">
      <c r="B34" s="85"/>
      <c r="C34" s="85"/>
      <c r="E34" s="81" t="str">
        <f t="shared" si="1"/>
        <v/>
      </c>
      <c r="F34" s="84"/>
      <c r="G34" s="85"/>
      <c r="H34" s="85"/>
      <c r="L34" s="86"/>
      <c r="Q34" s="91"/>
      <c r="R34" s="87" t="str">
        <f>IF(LOWER(TRIM($Q34)) = LOWER(TRIM(Dashboard!$A$6)), B34, "")
</f>
        <v/>
      </c>
      <c r="S34" s="87" t="str">
        <f>IF(LOWER(TRIM($Q34)) = LOWER(TRIM(Dashboard!$A$6)), C34, "")
</f>
        <v/>
      </c>
      <c r="T34" s="91" t="str">
        <f>IF(LOWER(TRIM(TEXT($Q34, "mmmm yyyy"))) = LOWER(TRIM(Dashboard!$A$6)), A34:A1000, "")
</f>
        <v/>
      </c>
    </row>
    <row r="35">
      <c r="B35" s="85"/>
      <c r="C35" s="85"/>
      <c r="E35" s="81" t="str">
        <f t="shared" si="1"/>
        <v/>
      </c>
      <c r="F35" s="84"/>
      <c r="G35" s="85"/>
      <c r="H35" s="85"/>
      <c r="L35" s="86"/>
      <c r="Q35" s="91"/>
      <c r="R35" s="87" t="str">
        <f>IF(LOWER(TRIM($Q35)) = LOWER(TRIM(Dashboard!$A$6)), B35, "")
</f>
        <v/>
      </c>
      <c r="S35" s="87" t="str">
        <f>IF(LOWER(TRIM($Q35)) = LOWER(TRIM(Dashboard!$A$6)), C35, "")
</f>
        <v/>
      </c>
      <c r="T35" s="91" t="str">
        <f>IF(LOWER(TRIM(TEXT($Q35, "mmmm yyyy"))) = LOWER(TRIM(Dashboard!$A$6)), A35:A1000, "")
</f>
        <v/>
      </c>
    </row>
    <row r="36">
      <c r="B36" s="85"/>
      <c r="C36" s="85"/>
      <c r="E36" s="81" t="str">
        <f t="shared" si="1"/>
        <v/>
      </c>
      <c r="F36" s="84"/>
      <c r="G36" s="85"/>
      <c r="H36" s="85"/>
      <c r="L36" s="86"/>
      <c r="Q36" s="91"/>
      <c r="R36" s="87" t="str">
        <f>IF(LOWER(TRIM($Q36)) = LOWER(TRIM(Dashboard!$A$6)), B36, "")
</f>
        <v/>
      </c>
      <c r="S36" s="87" t="str">
        <f>IF(LOWER(TRIM($Q36)) = LOWER(TRIM(Dashboard!$A$6)), C36, "")
</f>
        <v/>
      </c>
      <c r="T36" s="91" t="str">
        <f>IF(LOWER(TRIM(TEXT($Q36, "mmmm yyyy"))) = LOWER(TRIM(Dashboard!$A$6)), A36:A1000, "")
</f>
        <v/>
      </c>
    </row>
    <row r="37">
      <c r="B37" s="85"/>
      <c r="C37" s="85"/>
      <c r="E37" s="81" t="str">
        <f t="shared" si="1"/>
        <v/>
      </c>
      <c r="F37" s="84"/>
      <c r="G37" s="85"/>
      <c r="H37" s="85"/>
      <c r="L37" s="86"/>
      <c r="Q37" s="91"/>
      <c r="R37" s="87" t="str">
        <f>IF(LOWER(TRIM($Q37)) = LOWER(TRIM(Dashboard!$A$6)), B37, "")
</f>
        <v/>
      </c>
      <c r="S37" s="87" t="str">
        <f>IF(LOWER(TRIM($Q37)) = LOWER(TRIM(Dashboard!$A$6)), C37, "")
</f>
        <v/>
      </c>
      <c r="T37" s="91" t="str">
        <f>IF(LOWER(TRIM(TEXT($Q37, "mmmm yyyy"))) = LOWER(TRIM(Dashboard!$A$6)), A37:A1000, "")
</f>
        <v/>
      </c>
    </row>
    <row r="38">
      <c r="B38" s="85"/>
      <c r="C38" s="85"/>
      <c r="E38" s="81" t="str">
        <f t="shared" si="1"/>
        <v/>
      </c>
      <c r="F38" s="84"/>
      <c r="G38" s="85"/>
      <c r="H38" s="85"/>
      <c r="L38" s="86"/>
      <c r="Q38" s="91"/>
      <c r="R38" s="87" t="str">
        <f>IF(LOWER(TRIM($Q38)) = LOWER(TRIM(Dashboard!$A$6)), B38, "")
</f>
        <v/>
      </c>
      <c r="S38" s="87" t="str">
        <f>IF(LOWER(TRIM($Q38)) = LOWER(TRIM(Dashboard!$A$6)), C38, "")
</f>
        <v/>
      </c>
      <c r="T38" s="91" t="str">
        <f>IF(LOWER(TRIM(TEXT($Q38, "mmmm yyyy"))) = LOWER(TRIM(Dashboard!$A$6)), A38:A1000, "")
</f>
        <v/>
      </c>
    </row>
    <row r="39">
      <c r="B39" s="85"/>
      <c r="C39" s="85"/>
      <c r="E39" s="81" t="str">
        <f t="shared" si="1"/>
        <v/>
      </c>
      <c r="F39" s="84"/>
      <c r="G39" s="85"/>
      <c r="H39" s="85"/>
      <c r="L39" s="86"/>
      <c r="Q39" s="91"/>
      <c r="R39" s="87" t="str">
        <f>IF(LOWER(TRIM($Q39)) = LOWER(TRIM(Dashboard!$A$6)), B39, "")
</f>
        <v/>
      </c>
      <c r="S39" s="87" t="str">
        <f>IF(LOWER(TRIM($Q39)) = LOWER(TRIM(Dashboard!$A$6)), C39, "")
</f>
        <v/>
      </c>
      <c r="T39" s="91" t="str">
        <f>IF(LOWER(TRIM(TEXT($Q39, "mmmm yyyy"))) = LOWER(TRIM(Dashboard!$A$6)), A39:A1000, "")
</f>
        <v/>
      </c>
    </row>
    <row r="40">
      <c r="B40" s="85"/>
      <c r="C40" s="85"/>
      <c r="E40" s="81" t="str">
        <f t="shared" si="1"/>
        <v/>
      </c>
      <c r="F40" s="84"/>
      <c r="G40" s="85"/>
      <c r="H40" s="85"/>
      <c r="L40" s="86"/>
      <c r="Q40" s="91"/>
      <c r="R40" s="87" t="str">
        <f>IF(LOWER(TRIM($Q40)) = LOWER(TRIM(Dashboard!$A$6)), B40, "")
</f>
        <v/>
      </c>
      <c r="S40" s="87" t="str">
        <f>IF(LOWER(TRIM($Q40)) = LOWER(TRIM(Dashboard!$A$6)), C40, "")
</f>
        <v/>
      </c>
      <c r="T40" s="91" t="str">
        <f>IF(LOWER(TRIM(TEXT($Q40, "mmmm yyyy"))) = LOWER(TRIM(Dashboard!$A$6)), A40:A1000, "")
</f>
        <v/>
      </c>
    </row>
    <row r="41">
      <c r="B41" s="85"/>
      <c r="C41" s="85"/>
      <c r="E41" s="81" t="str">
        <f t="shared" si="1"/>
        <v/>
      </c>
      <c r="F41" s="84"/>
      <c r="G41" s="85"/>
      <c r="H41" s="85"/>
      <c r="L41" s="86"/>
      <c r="Q41" s="91"/>
      <c r="R41" s="87" t="str">
        <f>IF(LOWER(TRIM($Q41)) = LOWER(TRIM(Dashboard!$A$6)), B41, "")
</f>
        <v/>
      </c>
      <c r="S41" s="87" t="str">
        <f>IF(LOWER(TRIM($Q41)) = LOWER(TRIM(Dashboard!$A$6)), C41, "")
</f>
        <v/>
      </c>
      <c r="T41" s="91" t="str">
        <f>IF(LOWER(TRIM(TEXT($Q41, "mmmm yyyy"))) = LOWER(TRIM(Dashboard!$A$6)), A41:A1000, "")
</f>
        <v/>
      </c>
    </row>
    <row r="42">
      <c r="B42" s="85"/>
      <c r="C42" s="85"/>
      <c r="E42" s="81" t="str">
        <f t="shared" si="1"/>
        <v/>
      </c>
      <c r="F42" s="84"/>
      <c r="G42" s="85"/>
      <c r="H42" s="85"/>
      <c r="L42" s="86"/>
      <c r="Q42" s="91"/>
      <c r="R42" s="87" t="str">
        <f>IF(LOWER(TRIM($Q42)) = LOWER(TRIM(Dashboard!$A$6)), B42, "")
</f>
        <v/>
      </c>
      <c r="S42" s="87" t="str">
        <f>IF(LOWER(TRIM($Q42)) = LOWER(TRIM(Dashboard!$A$6)), C42, "")
</f>
        <v/>
      </c>
      <c r="T42" s="91" t="str">
        <f>IF(LOWER(TRIM(TEXT($Q42, "mmmm yyyy"))) = LOWER(TRIM(Dashboard!$A$6)), A42:A1000, "")
</f>
        <v/>
      </c>
    </row>
    <row r="43">
      <c r="B43" s="85"/>
      <c r="C43" s="85"/>
      <c r="E43" s="81" t="str">
        <f t="shared" si="1"/>
        <v/>
      </c>
      <c r="F43" s="84"/>
      <c r="G43" s="85"/>
      <c r="H43" s="85"/>
      <c r="L43" s="86"/>
      <c r="Q43" s="91"/>
      <c r="R43" s="87" t="str">
        <f>IF(LOWER(TRIM($Q43)) = LOWER(TRIM(Dashboard!$A$6)), B43, "")
</f>
        <v/>
      </c>
      <c r="S43" s="87" t="str">
        <f>IF(LOWER(TRIM($Q43)) = LOWER(TRIM(Dashboard!$A$6)), C43, "")
</f>
        <v/>
      </c>
      <c r="T43" s="91" t="str">
        <f>IF(LOWER(TRIM(TEXT($Q43, "mmmm yyyy"))) = LOWER(TRIM(Dashboard!$A$6)), A43:A1000, "")
</f>
        <v/>
      </c>
    </row>
    <row r="44">
      <c r="B44" s="85"/>
      <c r="C44" s="85"/>
      <c r="E44" s="81" t="str">
        <f t="shared" si="1"/>
        <v/>
      </c>
      <c r="F44" s="84"/>
      <c r="G44" s="85"/>
      <c r="H44" s="85"/>
      <c r="L44" s="86"/>
      <c r="Q44" s="91"/>
      <c r="R44" s="87" t="str">
        <f>IF(LOWER(TRIM($Q44)) = LOWER(TRIM(Dashboard!$A$6)), B44, "")
</f>
        <v/>
      </c>
      <c r="S44" s="87" t="str">
        <f>IF(LOWER(TRIM($Q44)) = LOWER(TRIM(Dashboard!$A$6)), C44, "")
</f>
        <v/>
      </c>
      <c r="T44" s="91" t="str">
        <f>IF(LOWER(TRIM(TEXT($Q44, "mmmm yyyy"))) = LOWER(TRIM(Dashboard!$A$6)), A44:A1000, "")
</f>
        <v/>
      </c>
    </row>
    <row r="45">
      <c r="B45" s="85"/>
      <c r="C45" s="85"/>
      <c r="E45" s="81" t="str">
        <f t="shared" si="1"/>
        <v/>
      </c>
      <c r="F45" s="84"/>
      <c r="G45" s="85"/>
      <c r="H45" s="85"/>
      <c r="L45" s="86"/>
      <c r="Q45" s="91"/>
      <c r="R45" s="87" t="str">
        <f>IF(LOWER(TRIM($Q45)) = LOWER(TRIM(Dashboard!$A$6)), B45, "")
</f>
        <v/>
      </c>
      <c r="S45" s="87" t="str">
        <f>IF(LOWER(TRIM($Q45)) = LOWER(TRIM(Dashboard!$A$6)), C45, "")
</f>
        <v/>
      </c>
      <c r="T45" s="91" t="str">
        <f>IF(LOWER(TRIM(TEXT($Q45, "mmmm yyyy"))) = LOWER(TRIM(Dashboard!$A$6)), A45:A1000, "")
</f>
        <v/>
      </c>
    </row>
    <row r="46">
      <c r="B46" s="85"/>
      <c r="C46" s="85"/>
      <c r="E46" s="81" t="str">
        <f t="shared" si="1"/>
        <v/>
      </c>
      <c r="F46" s="84"/>
      <c r="G46" s="85"/>
      <c r="H46" s="85"/>
      <c r="L46" s="86"/>
      <c r="Q46" s="91"/>
      <c r="R46" s="87" t="str">
        <f>IF(LOWER(TRIM($Q46)) = LOWER(TRIM(Dashboard!$A$6)), B46, "")
</f>
        <v/>
      </c>
      <c r="S46" s="87" t="str">
        <f>IF(LOWER(TRIM($Q46)) = LOWER(TRIM(Dashboard!$A$6)), C46, "")
</f>
        <v/>
      </c>
      <c r="T46" s="91" t="str">
        <f>IF(LOWER(TRIM(TEXT($Q46, "mmmm yyyy"))) = LOWER(TRIM(Dashboard!$A$6)), A46:A1000, "")
</f>
        <v/>
      </c>
    </row>
    <row r="47">
      <c r="B47" s="85"/>
      <c r="C47" s="85"/>
      <c r="E47" s="81" t="str">
        <f t="shared" si="1"/>
        <v/>
      </c>
      <c r="F47" s="84"/>
      <c r="G47" s="85"/>
      <c r="H47" s="85"/>
      <c r="L47" s="86"/>
      <c r="Q47" s="91"/>
      <c r="R47" s="87" t="str">
        <f>IF(LOWER(TRIM($Q47)) = LOWER(TRIM(Dashboard!$A$6)), B47, "")
</f>
        <v/>
      </c>
      <c r="S47" s="87" t="str">
        <f>IF(LOWER(TRIM($Q47)) = LOWER(TRIM(Dashboard!$A$6)), C47, "")
</f>
        <v/>
      </c>
      <c r="T47" s="91" t="str">
        <f>IF(LOWER(TRIM(TEXT($Q47, "mmmm yyyy"))) = LOWER(TRIM(Dashboard!$A$6)), A47:A1000, "")
</f>
        <v/>
      </c>
    </row>
    <row r="48">
      <c r="B48" s="85"/>
      <c r="C48" s="85"/>
      <c r="E48" s="81" t="str">
        <f t="shared" si="1"/>
        <v/>
      </c>
      <c r="F48" s="84"/>
      <c r="G48" s="85"/>
      <c r="H48" s="85"/>
      <c r="L48" s="86"/>
      <c r="Q48" s="91"/>
      <c r="R48" s="87" t="str">
        <f>IF(LOWER(TRIM($Q48)) = LOWER(TRIM(Dashboard!$A$6)), B48, "")
</f>
        <v/>
      </c>
      <c r="S48" s="87" t="str">
        <f>IF(LOWER(TRIM($Q48)) = LOWER(TRIM(Dashboard!$A$6)), C48, "")
</f>
        <v/>
      </c>
      <c r="T48" s="91" t="str">
        <f>IF(LOWER(TRIM(TEXT($Q48, "mmmm yyyy"))) = LOWER(TRIM(Dashboard!$A$6)), A48:A1000, "")
</f>
        <v/>
      </c>
    </row>
    <row r="49">
      <c r="B49" s="85"/>
      <c r="C49" s="85"/>
      <c r="E49" s="81" t="str">
        <f t="shared" si="1"/>
        <v/>
      </c>
      <c r="F49" s="84"/>
      <c r="G49" s="85"/>
      <c r="H49" s="85"/>
      <c r="L49" s="86"/>
      <c r="Q49" s="91"/>
      <c r="R49" s="87" t="str">
        <f>IF(LOWER(TRIM($Q49)) = LOWER(TRIM(Dashboard!$A$6)), B49, "")
</f>
        <v/>
      </c>
      <c r="S49" s="87" t="str">
        <f>IF(LOWER(TRIM($Q49)) = LOWER(TRIM(Dashboard!$A$6)), C49, "")
</f>
        <v/>
      </c>
      <c r="T49" s="91" t="str">
        <f>IF(LOWER(TRIM(TEXT($Q49, "mmmm yyyy"))) = LOWER(TRIM(Dashboard!$A$6)), A49:A1000, "")
</f>
        <v/>
      </c>
    </row>
    <row r="50">
      <c r="B50" s="85"/>
      <c r="C50" s="85"/>
      <c r="E50" s="81" t="str">
        <f t="shared" si="1"/>
        <v/>
      </c>
      <c r="F50" s="84"/>
      <c r="G50" s="85"/>
      <c r="H50" s="85"/>
      <c r="L50" s="86"/>
      <c r="Q50" s="91"/>
      <c r="R50" s="87" t="str">
        <f>IF(LOWER(TRIM($Q50)) = LOWER(TRIM(Dashboard!$A$6)), B50, "")
</f>
        <v/>
      </c>
      <c r="S50" s="87" t="str">
        <f>IF(LOWER(TRIM($Q50)) = LOWER(TRIM(Dashboard!$A$6)), C50, "")
</f>
        <v/>
      </c>
      <c r="T50" s="91" t="str">
        <f>IF(LOWER(TRIM(TEXT($Q50, "mmmm yyyy"))) = LOWER(TRIM(Dashboard!$A$6)), A50:A1000, "")
</f>
        <v/>
      </c>
    </row>
    <row r="51">
      <c r="B51" s="85"/>
      <c r="C51" s="85"/>
      <c r="E51" s="81" t="str">
        <f t="shared" si="1"/>
        <v/>
      </c>
      <c r="F51" s="84"/>
      <c r="G51" s="85"/>
      <c r="H51" s="85"/>
      <c r="L51" s="86"/>
      <c r="Q51" s="91"/>
      <c r="R51" s="87" t="str">
        <f>IF(LOWER(TRIM($Q51)) = LOWER(TRIM(Dashboard!$A$6)), B51, "")
</f>
        <v/>
      </c>
      <c r="S51" s="87" t="str">
        <f>IF(LOWER(TRIM($Q51)) = LOWER(TRIM(Dashboard!$A$6)), C51, "")
</f>
        <v/>
      </c>
      <c r="T51" s="91" t="str">
        <f>IF(LOWER(TRIM(TEXT($Q51, "mmmm yyyy"))) = LOWER(TRIM(Dashboard!$A$6)), A51:A1000, "")
</f>
        <v/>
      </c>
    </row>
    <row r="52">
      <c r="B52" s="85"/>
      <c r="C52" s="85"/>
      <c r="E52" s="81" t="str">
        <f t="shared" si="1"/>
        <v/>
      </c>
      <c r="F52" s="84"/>
      <c r="G52" s="85"/>
      <c r="H52" s="85"/>
      <c r="L52" s="86"/>
      <c r="Q52" s="91"/>
      <c r="R52" s="87" t="str">
        <f>IF(LOWER(TRIM($Q52)) = LOWER(TRIM(Dashboard!$A$6)), B52, "")
</f>
        <v/>
      </c>
      <c r="S52" s="87" t="str">
        <f>IF(LOWER(TRIM($Q52)) = LOWER(TRIM(Dashboard!$A$6)), C52, "")
</f>
        <v/>
      </c>
      <c r="T52" s="91" t="str">
        <f>IF(LOWER(TRIM(TEXT($Q52, "mmmm yyyy"))) = LOWER(TRIM(Dashboard!$A$6)), A52:A1000, "")
</f>
        <v/>
      </c>
    </row>
    <row r="53">
      <c r="B53" s="85"/>
      <c r="C53" s="85"/>
      <c r="E53" s="81" t="str">
        <f t="shared" si="1"/>
        <v/>
      </c>
      <c r="F53" s="84"/>
      <c r="G53" s="85"/>
      <c r="H53" s="85"/>
      <c r="L53" s="86"/>
      <c r="Q53" s="91"/>
      <c r="R53" s="87" t="str">
        <f>IF(LOWER(TRIM($Q53)) = LOWER(TRIM(Dashboard!$A$6)), B53, "")
</f>
        <v/>
      </c>
      <c r="S53" s="87" t="str">
        <f>IF(LOWER(TRIM($Q53)) = LOWER(TRIM(Dashboard!$A$6)), C53, "")
</f>
        <v/>
      </c>
      <c r="T53" s="91" t="str">
        <f>IF(LOWER(TRIM(TEXT($Q53, "mmmm yyyy"))) = LOWER(TRIM(Dashboard!$A$6)), A53:A1000, "")
</f>
        <v/>
      </c>
    </row>
    <row r="54">
      <c r="B54" s="85"/>
      <c r="C54" s="85"/>
      <c r="E54" s="81" t="str">
        <f t="shared" si="1"/>
        <v/>
      </c>
      <c r="F54" s="84"/>
      <c r="G54" s="85"/>
      <c r="H54" s="85"/>
      <c r="L54" s="86"/>
      <c r="Q54" s="91"/>
      <c r="R54" s="87" t="str">
        <f>IF(LOWER(TRIM($Q54)) = LOWER(TRIM(Dashboard!$A$6)), B54, "")
</f>
        <v/>
      </c>
      <c r="S54" s="87" t="str">
        <f>IF(LOWER(TRIM($Q54)) = LOWER(TRIM(Dashboard!$A$6)), C54, "")
</f>
        <v/>
      </c>
      <c r="T54" s="91" t="str">
        <f>IF(LOWER(TRIM(TEXT($Q54, "mmmm yyyy"))) = LOWER(TRIM(Dashboard!$A$6)), A54:A1000, "")
</f>
        <v/>
      </c>
    </row>
    <row r="55">
      <c r="B55" s="85"/>
      <c r="C55" s="85"/>
      <c r="E55" s="81" t="str">
        <f t="shared" si="1"/>
        <v/>
      </c>
      <c r="F55" s="84"/>
      <c r="G55" s="85"/>
      <c r="H55" s="85"/>
      <c r="L55" s="86"/>
      <c r="Q55" s="91"/>
      <c r="R55" s="87" t="str">
        <f>IF(LOWER(TRIM($Q55)) = LOWER(TRIM(Dashboard!$A$6)), B55, "")
</f>
        <v/>
      </c>
      <c r="S55" s="87" t="str">
        <f>IF(LOWER(TRIM($Q55)) = LOWER(TRIM(Dashboard!$A$6)), C55, "")
</f>
        <v/>
      </c>
      <c r="T55" s="91" t="str">
        <f>IF(LOWER(TRIM(TEXT($Q55, "mmmm yyyy"))) = LOWER(TRIM(Dashboard!$A$6)), A55:A1000, "")
</f>
        <v/>
      </c>
    </row>
    <row r="56">
      <c r="B56" s="85"/>
      <c r="C56" s="85"/>
      <c r="E56" s="81" t="str">
        <f t="shared" si="1"/>
        <v/>
      </c>
      <c r="F56" s="84"/>
      <c r="G56" s="85"/>
      <c r="H56" s="85"/>
      <c r="L56" s="86"/>
      <c r="Q56" s="91"/>
      <c r="R56" s="87" t="str">
        <f>IF(LOWER(TRIM($Q56)) = LOWER(TRIM(Dashboard!$A$6)), B56, "")
</f>
        <v/>
      </c>
      <c r="S56" s="87" t="str">
        <f>IF(LOWER(TRIM($Q56)) = LOWER(TRIM(Dashboard!$A$6)), C56, "")
</f>
        <v/>
      </c>
      <c r="T56" s="91" t="str">
        <f>IF(LOWER(TRIM(TEXT($Q56, "mmmm yyyy"))) = LOWER(TRIM(Dashboard!$A$6)), A56:A1000, "")
</f>
        <v/>
      </c>
    </row>
    <row r="57">
      <c r="B57" s="85"/>
      <c r="C57" s="85"/>
      <c r="E57" s="81" t="str">
        <f t="shared" si="1"/>
        <v/>
      </c>
      <c r="F57" s="84"/>
      <c r="G57" s="85"/>
      <c r="H57" s="85"/>
      <c r="L57" s="86"/>
      <c r="Q57" s="91"/>
      <c r="R57" s="87" t="str">
        <f>IF(LOWER(TRIM($Q57)) = LOWER(TRIM(Dashboard!$A$6)), B57, "")
</f>
        <v/>
      </c>
      <c r="S57" s="87" t="str">
        <f>IF(LOWER(TRIM($Q57)) = LOWER(TRIM(Dashboard!$A$6)), C57, "")
</f>
        <v/>
      </c>
      <c r="T57" s="91" t="str">
        <f>IF(LOWER(TRIM(TEXT($Q57, "mmmm yyyy"))) = LOWER(TRIM(Dashboard!$A$6)), A57:A1000, "")
</f>
        <v/>
      </c>
    </row>
    <row r="58">
      <c r="B58" s="85"/>
      <c r="C58" s="85"/>
      <c r="E58" s="81" t="str">
        <f t="shared" si="1"/>
        <v/>
      </c>
      <c r="F58" s="84"/>
      <c r="G58" s="85"/>
      <c r="H58" s="85"/>
      <c r="L58" s="86"/>
      <c r="Q58" s="91"/>
      <c r="R58" s="87" t="str">
        <f>IF(LOWER(TRIM($Q58)) = LOWER(TRIM(Dashboard!$A$6)), B58, "")
</f>
        <v/>
      </c>
      <c r="S58" s="87" t="str">
        <f>IF(LOWER(TRIM($Q58)) = LOWER(TRIM(Dashboard!$A$6)), C58, "")
</f>
        <v/>
      </c>
      <c r="T58" s="91" t="str">
        <f>IF(LOWER(TRIM(TEXT($Q58, "mmmm yyyy"))) = LOWER(TRIM(Dashboard!$A$6)), A58:A1000, "")
</f>
        <v/>
      </c>
    </row>
    <row r="59">
      <c r="B59" s="85"/>
      <c r="C59" s="85"/>
      <c r="E59" s="81" t="str">
        <f t="shared" si="1"/>
        <v/>
      </c>
      <c r="F59" s="84"/>
      <c r="G59" s="85"/>
      <c r="H59" s="85"/>
      <c r="L59" s="86"/>
      <c r="Q59" s="91"/>
      <c r="R59" s="87" t="str">
        <f>IF(LOWER(TRIM($Q59)) = LOWER(TRIM(Dashboard!$A$6)), B59, "")
</f>
        <v/>
      </c>
      <c r="S59" s="87" t="str">
        <f>IF(LOWER(TRIM($Q59)) = LOWER(TRIM(Dashboard!$A$6)), C59, "")
</f>
        <v/>
      </c>
      <c r="T59" s="91" t="str">
        <f>IF(LOWER(TRIM(TEXT($Q59, "mmmm yyyy"))) = LOWER(TRIM(Dashboard!$A$6)), A59:A1000, "")
</f>
        <v/>
      </c>
    </row>
    <row r="60">
      <c r="B60" s="85"/>
      <c r="C60" s="85"/>
      <c r="E60" s="81" t="str">
        <f t="shared" si="1"/>
        <v/>
      </c>
      <c r="F60" s="84"/>
      <c r="G60" s="85"/>
      <c r="H60" s="85"/>
      <c r="L60" s="86"/>
      <c r="Q60" s="91"/>
      <c r="R60" s="87" t="str">
        <f>IF(LOWER(TRIM($Q60)) = LOWER(TRIM(Dashboard!$A$6)), B60, "")
</f>
        <v/>
      </c>
      <c r="S60" s="87" t="str">
        <f>IF(LOWER(TRIM($Q60)) = LOWER(TRIM(Dashboard!$A$6)), C60, "")
</f>
        <v/>
      </c>
      <c r="T60" s="91" t="str">
        <f>IF(LOWER(TRIM(TEXT($Q60, "mmmm yyyy"))) = LOWER(TRIM(Dashboard!$A$6)), A60:A1000, "")
</f>
        <v/>
      </c>
    </row>
    <row r="61">
      <c r="B61" s="85"/>
      <c r="C61" s="85"/>
      <c r="E61" s="81" t="str">
        <f t="shared" si="1"/>
        <v/>
      </c>
      <c r="F61" s="84"/>
      <c r="G61" s="85"/>
      <c r="H61" s="85"/>
      <c r="L61" s="86"/>
      <c r="Q61" s="91"/>
      <c r="R61" s="87" t="str">
        <f>IF(LOWER(TRIM($Q61)) = LOWER(TRIM(Dashboard!$A$6)), B61, "")
</f>
        <v/>
      </c>
      <c r="S61" s="87" t="str">
        <f>IF(LOWER(TRIM($Q61)) = LOWER(TRIM(Dashboard!$A$6)), C61, "")
</f>
        <v/>
      </c>
      <c r="T61" s="91" t="str">
        <f>IF(LOWER(TRIM(TEXT($Q61, "mmmm yyyy"))) = LOWER(TRIM(Dashboard!$A$6)), A61:A1000, "")
</f>
        <v/>
      </c>
    </row>
    <row r="62">
      <c r="B62" s="85"/>
      <c r="C62" s="85"/>
      <c r="E62" s="81" t="str">
        <f t="shared" si="1"/>
        <v/>
      </c>
      <c r="F62" s="84"/>
      <c r="G62" s="85"/>
      <c r="H62" s="85"/>
      <c r="L62" s="86"/>
      <c r="Q62" s="91"/>
      <c r="R62" s="87" t="str">
        <f>IF(LOWER(TRIM($Q62)) = LOWER(TRIM(Dashboard!$A$6)), B62, "")
</f>
        <v/>
      </c>
      <c r="S62" s="87" t="str">
        <f>IF(LOWER(TRIM($Q62)) = LOWER(TRIM(Dashboard!$A$6)), C62, "")
</f>
        <v/>
      </c>
      <c r="T62" s="91" t="str">
        <f>IF(LOWER(TRIM(TEXT($Q62, "mmmm yyyy"))) = LOWER(TRIM(Dashboard!$A$6)), A62:A1000, "")
</f>
        <v/>
      </c>
    </row>
    <row r="63">
      <c r="B63" s="85"/>
      <c r="C63" s="85"/>
      <c r="E63" s="81" t="str">
        <f t="shared" si="1"/>
        <v/>
      </c>
      <c r="F63" s="84"/>
      <c r="G63" s="85"/>
      <c r="H63" s="85"/>
      <c r="L63" s="86"/>
      <c r="Q63" s="91"/>
      <c r="R63" s="87" t="str">
        <f>IF(LOWER(TRIM($Q63)) = LOWER(TRIM(Dashboard!$A$6)), B63, "")
</f>
        <v/>
      </c>
      <c r="S63" s="87" t="str">
        <f>IF(LOWER(TRIM($Q63)) = LOWER(TRIM(Dashboard!$A$6)), C63, "")
</f>
        <v/>
      </c>
      <c r="T63" s="91" t="str">
        <f>IF(LOWER(TRIM(TEXT($Q63, "mmmm yyyy"))) = LOWER(TRIM(Dashboard!$A$6)), A63:A1000, "")
</f>
        <v/>
      </c>
    </row>
    <row r="64">
      <c r="B64" s="85"/>
      <c r="C64" s="85"/>
      <c r="E64" s="81" t="str">
        <f t="shared" si="1"/>
        <v/>
      </c>
      <c r="F64" s="84"/>
      <c r="G64" s="85"/>
      <c r="H64" s="85"/>
      <c r="L64" s="86"/>
      <c r="Q64" s="91"/>
      <c r="R64" s="87" t="str">
        <f>IF(LOWER(TRIM($Q64)) = LOWER(TRIM(Dashboard!$A$6)), B64, "")
</f>
        <v/>
      </c>
      <c r="S64" s="87" t="str">
        <f>IF(LOWER(TRIM($Q64)) = LOWER(TRIM(Dashboard!$A$6)), C64, "")
</f>
        <v/>
      </c>
      <c r="T64" s="91" t="str">
        <f>IF(LOWER(TRIM(TEXT($Q64, "mmmm yyyy"))) = LOWER(TRIM(Dashboard!$A$6)), A64:A1000, "")
</f>
        <v/>
      </c>
    </row>
    <row r="65">
      <c r="B65" s="85"/>
      <c r="C65" s="85"/>
      <c r="E65" s="81" t="str">
        <f t="shared" si="1"/>
        <v/>
      </c>
      <c r="F65" s="84"/>
      <c r="G65" s="85"/>
      <c r="H65" s="85"/>
      <c r="L65" s="86"/>
      <c r="Q65" s="91"/>
      <c r="R65" s="87" t="str">
        <f>IF(LOWER(TRIM($Q65)) = LOWER(TRIM(Dashboard!$A$6)), B65, "")
</f>
        <v/>
      </c>
      <c r="S65" s="87" t="str">
        <f>IF(LOWER(TRIM($Q65)) = LOWER(TRIM(Dashboard!$A$6)), C65, "")
</f>
        <v/>
      </c>
      <c r="T65" s="91" t="str">
        <f>IF(LOWER(TRIM(TEXT($Q65, "mmmm yyyy"))) = LOWER(TRIM(Dashboard!$A$6)), A65:A1000, "")
</f>
        <v/>
      </c>
    </row>
    <row r="66">
      <c r="B66" s="85"/>
      <c r="C66" s="85"/>
      <c r="E66" s="81" t="str">
        <f t="shared" si="1"/>
        <v/>
      </c>
      <c r="F66" s="84"/>
      <c r="G66" s="85"/>
      <c r="H66" s="85"/>
      <c r="L66" s="86"/>
      <c r="Q66" s="91"/>
      <c r="R66" s="87" t="str">
        <f>IF(LOWER(TRIM($Q66)) = LOWER(TRIM(Dashboard!$A$6)), B66, "")
</f>
        <v/>
      </c>
      <c r="S66" s="87" t="str">
        <f>IF(LOWER(TRIM($Q66)) = LOWER(TRIM(Dashboard!$A$6)), C66, "")
</f>
        <v/>
      </c>
      <c r="T66" s="91" t="str">
        <f>IF(LOWER(TRIM(TEXT($Q66, "mmmm yyyy"))) = LOWER(TRIM(Dashboard!$A$6)), A66:A1000, "")
</f>
        <v/>
      </c>
    </row>
    <row r="67">
      <c r="B67" s="85"/>
      <c r="C67" s="85"/>
      <c r="E67" s="81" t="str">
        <f t="shared" si="1"/>
        <v/>
      </c>
      <c r="F67" s="84"/>
      <c r="G67" s="85"/>
      <c r="H67" s="85"/>
      <c r="L67" s="86"/>
      <c r="Q67" s="91"/>
      <c r="R67" s="87" t="str">
        <f>IF(LOWER(TRIM($Q67)) = LOWER(TRIM(Dashboard!$A$6)), B67, "")
</f>
        <v/>
      </c>
      <c r="S67" s="87" t="str">
        <f>IF(LOWER(TRIM($Q67)) = LOWER(TRIM(Dashboard!$A$6)), C67, "")
</f>
        <v/>
      </c>
      <c r="T67" s="91" t="str">
        <f>IF(LOWER(TRIM(TEXT($Q67, "mmmm yyyy"))) = LOWER(TRIM(Dashboard!$A$6)), A67:A1000, "")
</f>
        <v/>
      </c>
    </row>
    <row r="68">
      <c r="B68" s="85"/>
      <c r="C68" s="85"/>
      <c r="E68" s="81" t="str">
        <f t="shared" si="1"/>
        <v/>
      </c>
      <c r="F68" s="84"/>
      <c r="G68" s="85"/>
      <c r="H68" s="85"/>
      <c r="L68" s="86"/>
      <c r="Q68" s="91"/>
      <c r="R68" s="87" t="str">
        <f>IF(LOWER(TRIM($Q68)) = LOWER(TRIM(Dashboard!$A$6)), B68, "")
</f>
        <v/>
      </c>
      <c r="S68" s="87" t="str">
        <f>IF(LOWER(TRIM($Q68)) = LOWER(TRIM(Dashboard!$A$6)), C68, "")
</f>
        <v/>
      </c>
      <c r="T68" s="91" t="str">
        <f>IF(LOWER(TRIM(TEXT($Q68, "mmmm yyyy"))) = LOWER(TRIM(Dashboard!$A$6)), A68:A1000, "")
</f>
        <v/>
      </c>
    </row>
    <row r="69">
      <c r="B69" s="85"/>
      <c r="C69" s="85"/>
      <c r="E69" s="81" t="str">
        <f t="shared" si="1"/>
        <v/>
      </c>
      <c r="F69" s="84"/>
      <c r="G69" s="85"/>
      <c r="H69" s="85"/>
      <c r="L69" s="86"/>
      <c r="Q69" s="91"/>
      <c r="R69" s="87" t="str">
        <f>IF(LOWER(TRIM($Q69)) = LOWER(TRIM(Dashboard!$A$6)), B69, "")
</f>
        <v/>
      </c>
      <c r="S69" s="87" t="str">
        <f>IF(LOWER(TRIM($Q69)) = LOWER(TRIM(Dashboard!$A$6)), C69, "")
</f>
        <v/>
      </c>
      <c r="T69" s="91" t="str">
        <f>IF(LOWER(TRIM(TEXT($Q69, "mmmm yyyy"))) = LOWER(TRIM(Dashboard!$A$6)), A69:A1000, "")
</f>
        <v/>
      </c>
    </row>
    <row r="70">
      <c r="B70" s="85"/>
      <c r="C70" s="85"/>
      <c r="E70" s="81" t="str">
        <f t="shared" si="1"/>
        <v/>
      </c>
      <c r="F70" s="84"/>
      <c r="G70" s="85"/>
      <c r="H70" s="85"/>
      <c r="L70" s="86"/>
      <c r="Q70" s="91"/>
      <c r="R70" s="87" t="str">
        <f>IF(LOWER(TRIM($Q70)) = LOWER(TRIM(Dashboard!$A$6)), B70, "")
</f>
        <v/>
      </c>
      <c r="S70" s="87" t="str">
        <f>IF(LOWER(TRIM($Q70)) = LOWER(TRIM(Dashboard!$A$6)), C70, "")
</f>
        <v/>
      </c>
      <c r="T70" s="91" t="str">
        <f>IF(LOWER(TRIM(TEXT($Q70, "mmmm yyyy"))) = LOWER(TRIM(Dashboard!$A$6)), A70:A1000, "")
</f>
        <v/>
      </c>
    </row>
    <row r="71">
      <c r="B71" s="85"/>
      <c r="C71" s="85"/>
      <c r="E71" s="81" t="str">
        <f t="shared" si="1"/>
        <v/>
      </c>
      <c r="F71" s="84"/>
      <c r="G71" s="85"/>
      <c r="H71" s="85"/>
      <c r="L71" s="86"/>
      <c r="Q71" s="91"/>
      <c r="R71" s="87" t="str">
        <f>IF(LOWER(TRIM($Q71)) = LOWER(TRIM(Dashboard!$A$6)), B71, "")
</f>
        <v/>
      </c>
      <c r="S71" s="87" t="str">
        <f>IF(LOWER(TRIM($Q71)) = LOWER(TRIM(Dashboard!$A$6)), C71, "")
</f>
        <v/>
      </c>
      <c r="T71" s="91" t="str">
        <f>IF(LOWER(TRIM(TEXT($Q71, "mmmm yyyy"))) = LOWER(TRIM(Dashboard!$A$6)), A71:A1000, "")
</f>
        <v/>
      </c>
    </row>
    <row r="72">
      <c r="B72" s="85"/>
      <c r="C72" s="85"/>
      <c r="E72" s="81" t="str">
        <f t="shared" si="1"/>
        <v/>
      </c>
      <c r="F72" s="84"/>
      <c r="G72" s="85"/>
      <c r="H72" s="85"/>
      <c r="L72" s="86"/>
      <c r="Q72" s="91"/>
      <c r="R72" s="87" t="str">
        <f>IF(LOWER(TRIM($Q72)) = LOWER(TRIM(Dashboard!$A$6)), B72, "")
</f>
        <v/>
      </c>
      <c r="S72" s="87" t="str">
        <f>IF(LOWER(TRIM($Q72)) = LOWER(TRIM(Dashboard!$A$6)), C72, "")
</f>
        <v/>
      </c>
      <c r="T72" s="91" t="str">
        <f>IF(LOWER(TRIM(TEXT($Q72, "mmmm yyyy"))) = LOWER(TRIM(Dashboard!$A$6)), A72:A1000, "")
</f>
        <v/>
      </c>
    </row>
    <row r="73">
      <c r="B73" s="85"/>
      <c r="C73" s="85"/>
      <c r="E73" s="81" t="str">
        <f t="shared" si="1"/>
        <v/>
      </c>
      <c r="F73" s="84"/>
      <c r="G73" s="85"/>
      <c r="H73" s="85"/>
      <c r="L73" s="86"/>
      <c r="Q73" s="91"/>
      <c r="R73" s="87" t="str">
        <f>IF(LOWER(TRIM($Q73)) = LOWER(TRIM(Dashboard!$A$6)), B73, "")
</f>
        <v/>
      </c>
      <c r="S73" s="87" t="str">
        <f>IF(LOWER(TRIM($Q73)) = LOWER(TRIM(Dashboard!$A$6)), C73, "")
</f>
        <v/>
      </c>
      <c r="T73" s="91" t="str">
        <f>IF(LOWER(TRIM(TEXT($Q73, "mmmm yyyy"))) = LOWER(TRIM(Dashboard!$A$6)), A73:A1000, "")
</f>
        <v/>
      </c>
    </row>
    <row r="74">
      <c r="B74" s="85"/>
      <c r="C74" s="85"/>
      <c r="E74" s="81" t="str">
        <f t="shared" si="1"/>
        <v/>
      </c>
      <c r="F74" s="84"/>
      <c r="G74" s="85"/>
      <c r="H74" s="85"/>
      <c r="L74" s="86"/>
      <c r="Q74" s="91"/>
      <c r="R74" s="87" t="str">
        <f>IF(LOWER(TRIM($Q74)) = LOWER(TRIM(Dashboard!$A$6)), B74, "")
</f>
        <v/>
      </c>
      <c r="S74" s="87" t="str">
        <f>IF(LOWER(TRIM($Q74)) = LOWER(TRIM(Dashboard!$A$6)), C74, "")
</f>
        <v/>
      </c>
      <c r="T74" s="91" t="str">
        <f>IF(LOWER(TRIM(TEXT($Q74, "mmmm yyyy"))) = LOWER(TRIM(Dashboard!$A$6)), A74:A1000, "")
</f>
        <v/>
      </c>
    </row>
    <row r="75">
      <c r="B75" s="85"/>
      <c r="C75" s="85"/>
      <c r="E75" s="81" t="str">
        <f t="shared" si="1"/>
        <v/>
      </c>
      <c r="F75" s="84"/>
      <c r="G75" s="85"/>
      <c r="H75" s="85"/>
      <c r="L75" s="86"/>
      <c r="Q75" s="91"/>
      <c r="R75" s="87" t="str">
        <f>IF(LOWER(TRIM($Q75)) = LOWER(TRIM(Dashboard!$A$6)), B75, "")
</f>
        <v/>
      </c>
      <c r="S75" s="87" t="str">
        <f>IF(LOWER(TRIM($Q75)) = LOWER(TRIM(Dashboard!$A$6)), C75, "")
</f>
        <v/>
      </c>
      <c r="T75" s="91" t="str">
        <f>IF(LOWER(TRIM(TEXT($Q75, "mmmm yyyy"))) = LOWER(TRIM(Dashboard!$A$6)), A75:A1000, "")
</f>
        <v/>
      </c>
    </row>
    <row r="76">
      <c r="B76" s="85"/>
      <c r="C76" s="85"/>
      <c r="E76" s="81" t="str">
        <f t="shared" si="1"/>
        <v/>
      </c>
      <c r="F76" s="84"/>
      <c r="G76" s="85"/>
      <c r="H76" s="85"/>
      <c r="L76" s="86"/>
      <c r="Q76" s="91"/>
      <c r="R76" s="87" t="str">
        <f>IF(LOWER(TRIM($Q76)) = LOWER(TRIM(Dashboard!$A$6)), B76, "")
</f>
        <v/>
      </c>
      <c r="S76" s="87" t="str">
        <f>IF(LOWER(TRIM($Q76)) = LOWER(TRIM(Dashboard!$A$6)), C76, "")
</f>
        <v/>
      </c>
      <c r="T76" s="91" t="str">
        <f>IF(LOWER(TRIM(TEXT($Q76, "mmmm yyyy"))) = LOWER(TRIM(Dashboard!$A$6)), A76:A1000, "")
</f>
        <v/>
      </c>
    </row>
    <row r="77">
      <c r="B77" s="85"/>
      <c r="C77" s="85"/>
      <c r="E77" s="81" t="str">
        <f t="shared" si="1"/>
        <v/>
      </c>
      <c r="F77" s="84"/>
      <c r="G77" s="85"/>
      <c r="H77" s="85"/>
      <c r="L77" s="86"/>
      <c r="Q77" s="91"/>
      <c r="R77" s="87" t="str">
        <f>IF(LOWER(TRIM($Q77)) = LOWER(TRIM(Dashboard!$A$6)), B77, "")
</f>
        <v/>
      </c>
      <c r="S77" s="87" t="str">
        <f>IF(LOWER(TRIM($Q77)) = LOWER(TRIM(Dashboard!$A$6)), C77, "")
</f>
        <v/>
      </c>
      <c r="T77" s="91" t="str">
        <f>IF(LOWER(TRIM(TEXT($Q77, "mmmm yyyy"))) = LOWER(TRIM(Dashboard!$A$6)), A77:A1000, "")
</f>
        <v/>
      </c>
    </row>
    <row r="78">
      <c r="B78" s="85"/>
      <c r="C78" s="85"/>
      <c r="E78" s="81" t="str">
        <f t="shared" si="1"/>
        <v/>
      </c>
      <c r="F78" s="84"/>
      <c r="G78" s="85"/>
      <c r="H78" s="85"/>
      <c r="L78" s="86"/>
      <c r="Q78" s="91"/>
      <c r="R78" s="87" t="str">
        <f>IF(LOWER(TRIM($Q78)) = LOWER(TRIM(Dashboard!$A$6)), B78, "")
</f>
        <v/>
      </c>
      <c r="S78" s="87" t="str">
        <f>IF(LOWER(TRIM($Q78)) = LOWER(TRIM(Dashboard!$A$6)), C78, "")
</f>
        <v/>
      </c>
      <c r="T78" s="91" t="str">
        <f>IF(LOWER(TRIM(TEXT($Q78, "mmmm yyyy"))) = LOWER(TRIM(Dashboard!$A$6)), A78:A1000, "")
</f>
        <v/>
      </c>
    </row>
    <row r="79">
      <c r="B79" s="85"/>
      <c r="C79" s="85"/>
      <c r="E79" s="81" t="str">
        <f t="shared" si="1"/>
        <v/>
      </c>
      <c r="F79" s="84"/>
      <c r="G79" s="85"/>
      <c r="H79" s="85"/>
      <c r="L79" s="86"/>
      <c r="Q79" s="91"/>
      <c r="R79" s="87" t="str">
        <f>IF(LOWER(TRIM($Q79)) = LOWER(TRIM(Dashboard!$A$6)), B79, "")
</f>
        <v/>
      </c>
      <c r="S79" s="87" t="str">
        <f>IF(LOWER(TRIM($Q79)) = LOWER(TRIM(Dashboard!$A$6)), C79, "")
</f>
        <v/>
      </c>
      <c r="T79" s="91" t="str">
        <f>IF(LOWER(TRIM(TEXT($Q79, "mmmm yyyy"))) = LOWER(TRIM(Dashboard!$A$6)), A79:A1000, "")
</f>
        <v/>
      </c>
    </row>
    <row r="80">
      <c r="B80" s="85"/>
      <c r="C80" s="85"/>
      <c r="E80" s="81" t="str">
        <f t="shared" si="1"/>
        <v/>
      </c>
      <c r="F80" s="84"/>
      <c r="G80" s="85"/>
      <c r="H80" s="85"/>
      <c r="L80" s="86"/>
      <c r="Q80" s="91"/>
      <c r="R80" s="87" t="str">
        <f>IF(LOWER(TRIM($Q80)) = LOWER(TRIM(Dashboard!$A$6)), B80, "")
</f>
        <v/>
      </c>
      <c r="S80" s="87" t="str">
        <f>IF(LOWER(TRIM($Q80)) = LOWER(TRIM(Dashboard!$A$6)), C80, "")
</f>
        <v/>
      </c>
      <c r="T80" s="91" t="str">
        <f>IF(LOWER(TRIM(TEXT($Q80, "mmmm yyyy"))) = LOWER(TRIM(Dashboard!$A$6)), A80:A1000, "")
</f>
        <v/>
      </c>
    </row>
    <row r="81">
      <c r="B81" s="85"/>
      <c r="C81" s="85"/>
      <c r="E81" s="81" t="str">
        <f t="shared" si="1"/>
        <v/>
      </c>
      <c r="F81" s="84"/>
      <c r="G81" s="85"/>
      <c r="H81" s="85"/>
      <c r="L81" s="86"/>
      <c r="Q81" s="91"/>
      <c r="R81" s="87" t="str">
        <f>IF(LOWER(TRIM($Q81)) = LOWER(TRIM(Dashboard!$A$6)), B81, "")
</f>
        <v/>
      </c>
      <c r="S81" s="87" t="str">
        <f>IF(LOWER(TRIM($Q81)) = LOWER(TRIM(Dashboard!$A$6)), C81, "")
</f>
        <v/>
      </c>
      <c r="T81" s="91" t="str">
        <f>IF(LOWER(TRIM(TEXT($Q81, "mmmm yyyy"))) = LOWER(TRIM(Dashboard!$A$6)), A81:A1000, "")
</f>
        <v/>
      </c>
    </row>
    <row r="82">
      <c r="B82" s="85"/>
      <c r="C82" s="85"/>
      <c r="E82" s="81" t="str">
        <f t="shared" si="1"/>
        <v/>
      </c>
      <c r="F82" s="84"/>
      <c r="G82" s="85"/>
      <c r="H82" s="85"/>
      <c r="L82" s="86"/>
      <c r="Q82" s="91"/>
      <c r="R82" s="87" t="str">
        <f>IF(LOWER(TRIM($Q82)) = LOWER(TRIM(Dashboard!$A$6)), B82, "")
</f>
        <v/>
      </c>
      <c r="S82" s="87" t="str">
        <f>IF(LOWER(TRIM($Q82)) = LOWER(TRIM(Dashboard!$A$6)), C82, "")
</f>
        <v/>
      </c>
      <c r="T82" s="91" t="str">
        <f>IF(LOWER(TRIM(TEXT($Q82, "mmmm yyyy"))) = LOWER(TRIM(Dashboard!$A$6)), A82:A1000, "")
</f>
        <v/>
      </c>
    </row>
    <row r="83">
      <c r="B83" s="85"/>
      <c r="C83" s="85"/>
      <c r="E83" s="81" t="str">
        <f t="shared" si="1"/>
        <v/>
      </c>
      <c r="F83" s="84"/>
      <c r="G83" s="85"/>
      <c r="H83" s="85"/>
      <c r="L83" s="86"/>
      <c r="Q83" s="91"/>
      <c r="R83" s="87" t="str">
        <f>IF(LOWER(TRIM($Q83)) = LOWER(TRIM(Dashboard!$A$6)), B83, "")
</f>
        <v/>
      </c>
      <c r="S83" s="87" t="str">
        <f>IF(LOWER(TRIM($Q83)) = LOWER(TRIM(Dashboard!$A$6)), C83, "")
</f>
        <v/>
      </c>
      <c r="T83" s="91" t="str">
        <f>IF(LOWER(TRIM(TEXT($Q83, "mmmm yyyy"))) = LOWER(TRIM(Dashboard!$A$6)), A83:A1000, "")
</f>
        <v/>
      </c>
    </row>
    <row r="84">
      <c r="B84" s="85"/>
      <c r="C84" s="85"/>
      <c r="E84" s="81" t="str">
        <f t="shared" si="1"/>
        <v/>
      </c>
      <c r="F84" s="84"/>
      <c r="G84" s="85"/>
      <c r="H84" s="85"/>
      <c r="L84" s="86"/>
      <c r="Q84" s="91"/>
      <c r="R84" s="87" t="str">
        <f>IF(LOWER(TRIM($Q84)) = LOWER(TRIM(Dashboard!$A$6)), B84, "")
</f>
        <v/>
      </c>
      <c r="S84" s="87" t="str">
        <f>IF(LOWER(TRIM($Q84)) = LOWER(TRIM(Dashboard!$A$6)), C84, "")
</f>
        <v/>
      </c>
      <c r="T84" s="91" t="str">
        <f>IF(LOWER(TRIM(TEXT($Q84, "mmmm yyyy"))) = LOWER(TRIM(Dashboard!$A$6)), A84:A1000, "")
</f>
        <v/>
      </c>
    </row>
    <row r="85">
      <c r="B85" s="85"/>
      <c r="C85" s="85"/>
      <c r="E85" s="81" t="str">
        <f t="shared" si="1"/>
        <v/>
      </c>
      <c r="F85" s="84"/>
      <c r="G85" s="85"/>
      <c r="H85" s="85"/>
      <c r="L85" s="86"/>
      <c r="Q85" s="91"/>
      <c r="R85" s="87" t="str">
        <f>IF(LOWER(TRIM($Q85)) = LOWER(TRIM(Dashboard!$A$6)), B85, "")
</f>
        <v/>
      </c>
      <c r="S85" s="87" t="str">
        <f>IF(LOWER(TRIM($Q85)) = LOWER(TRIM(Dashboard!$A$6)), C85, "")
</f>
        <v/>
      </c>
      <c r="T85" s="91" t="str">
        <f>IF(LOWER(TRIM(TEXT($Q85, "mmmm yyyy"))) = LOWER(TRIM(Dashboard!$A$6)), A85:A1000, "")
</f>
        <v/>
      </c>
    </row>
    <row r="86">
      <c r="B86" s="85"/>
      <c r="C86" s="85"/>
      <c r="E86" s="81" t="str">
        <f t="shared" si="1"/>
        <v/>
      </c>
      <c r="F86" s="84"/>
      <c r="G86" s="85"/>
      <c r="H86" s="85"/>
      <c r="L86" s="86"/>
      <c r="Q86" s="91"/>
      <c r="R86" s="87" t="str">
        <f>IF(LOWER(TRIM($Q86)) = LOWER(TRIM(Dashboard!$A$6)), B86, "")
</f>
        <v/>
      </c>
      <c r="S86" s="87" t="str">
        <f>IF(LOWER(TRIM($Q86)) = LOWER(TRIM(Dashboard!$A$6)), C86, "")
</f>
        <v/>
      </c>
      <c r="T86" s="91" t="str">
        <f>IF(LOWER(TRIM(TEXT($Q86, "mmmm yyyy"))) = LOWER(TRIM(Dashboard!$A$6)), A86:A1000, "")
</f>
        <v/>
      </c>
    </row>
    <row r="87">
      <c r="B87" s="85"/>
      <c r="C87" s="85"/>
      <c r="E87" s="81" t="str">
        <f t="shared" si="1"/>
        <v/>
      </c>
      <c r="F87" s="84"/>
      <c r="G87" s="85"/>
      <c r="H87" s="85"/>
      <c r="L87" s="86"/>
      <c r="Q87" s="91"/>
      <c r="R87" s="87" t="str">
        <f>IF(LOWER(TRIM($Q87)) = LOWER(TRIM(Dashboard!$A$6)), B87, "")
</f>
        <v/>
      </c>
      <c r="S87" s="87" t="str">
        <f>IF(LOWER(TRIM($Q87)) = LOWER(TRIM(Dashboard!$A$6)), C87, "")
</f>
        <v/>
      </c>
      <c r="T87" s="91" t="str">
        <f>IF(LOWER(TRIM(TEXT($Q87, "mmmm yyyy"))) = LOWER(TRIM(Dashboard!$A$6)), A87:A1000, "")
</f>
        <v/>
      </c>
    </row>
    <row r="88">
      <c r="B88" s="85"/>
      <c r="C88" s="85"/>
      <c r="E88" s="81" t="str">
        <f t="shared" si="1"/>
        <v/>
      </c>
      <c r="F88" s="84"/>
      <c r="G88" s="85"/>
      <c r="H88" s="85"/>
      <c r="L88" s="86"/>
      <c r="Q88" s="91"/>
      <c r="R88" s="87" t="str">
        <f>IF(LOWER(TRIM($Q88)) = LOWER(TRIM(Dashboard!$A$6)), B88, "")
</f>
        <v/>
      </c>
      <c r="S88" s="87" t="str">
        <f>IF(LOWER(TRIM($Q88)) = LOWER(TRIM(Dashboard!$A$6)), C88, "")
</f>
        <v/>
      </c>
      <c r="T88" s="91" t="str">
        <f>IF(LOWER(TRIM(TEXT($Q88, "mmmm yyyy"))) = LOWER(TRIM(Dashboard!$A$6)), A88:A1000, "")
</f>
        <v/>
      </c>
    </row>
    <row r="89">
      <c r="B89" s="85"/>
      <c r="C89" s="85"/>
      <c r="E89" s="81" t="str">
        <f t="shared" si="1"/>
        <v/>
      </c>
      <c r="F89" s="84"/>
      <c r="G89" s="85"/>
      <c r="H89" s="85"/>
      <c r="L89" s="86"/>
      <c r="Q89" s="91"/>
      <c r="R89" s="87" t="str">
        <f>IF(LOWER(TRIM($Q89)) = LOWER(TRIM(Dashboard!$A$6)), B89, "")
</f>
        <v/>
      </c>
      <c r="S89" s="87" t="str">
        <f>IF(LOWER(TRIM($Q89)) = LOWER(TRIM(Dashboard!$A$6)), C89, "")
</f>
        <v/>
      </c>
      <c r="T89" s="91" t="str">
        <f>IF(LOWER(TRIM(TEXT($Q89, "mmmm yyyy"))) = LOWER(TRIM(Dashboard!$A$6)), A89:A1000, "")
</f>
        <v/>
      </c>
    </row>
    <row r="90">
      <c r="B90" s="85"/>
      <c r="C90" s="85"/>
      <c r="E90" s="81" t="str">
        <f t="shared" si="1"/>
        <v/>
      </c>
      <c r="F90" s="84"/>
      <c r="G90" s="85"/>
      <c r="H90" s="85"/>
      <c r="L90" s="86"/>
      <c r="Q90" s="91"/>
      <c r="R90" s="87" t="str">
        <f>IF(LOWER(TRIM($Q90)) = LOWER(TRIM(Dashboard!$A$6)), B90, "")
</f>
        <v/>
      </c>
      <c r="S90" s="87" t="str">
        <f>IF(LOWER(TRIM($Q90)) = LOWER(TRIM(Dashboard!$A$6)), C90, "")
</f>
        <v/>
      </c>
      <c r="T90" s="91" t="str">
        <f>IF(LOWER(TRIM(TEXT($Q90, "mmmm yyyy"))) = LOWER(TRIM(Dashboard!$A$6)), A90:A1000, "")
</f>
        <v/>
      </c>
    </row>
    <row r="91">
      <c r="B91" s="85"/>
      <c r="C91" s="85"/>
      <c r="E91" s="81" t="str">
        <f t="shared" si="1"/>
        <v/>
      </c>
      <c r="F91" s="84"/>
      <c r="G91" s="85"/>
      <c r="H91" s="85"/>
      <c r="L91" s="86"/>
      <c r="Q91" s="91"/>
      <c r="R91" s="87" t="str">
        <f>IF(LOWER(TRIM($Q91)) = LOWER(TRIM(Dashboard!$A$6)), B91, "")
</f>
        <v/>
      </c>
      <c r="S91" s="87" t="str">
        <f>IF(LOWER(TRIM($Q91)) = LOWER(TRIM(Dashboard!$A$6)), C91, "")
</f>
        <v/>
      </c>
      <c r="T91" s="91" t="str">
        <f>IF(LOWER(TRIM(TEXT($Q91, "mmmm yyyy"))) = LOWER(TRIM(Dashboard!$A$6)), A91:A1000, "")
</f>
        <v/>
      </c>
    </row>
    <row r="92">
      <c r="B92" s="85"/>
      <c r="C92" s="85"/>
      <c r="E92" s="81" t="str">
        <f t="shared" si="1"/>
        <v/>
      </c>
      <c r="F92" s="84"/>
      <c r="G92" s="85"/>
      <c r="H92" s="85"/>
      <c r="L92" s="86"/>
      <c r="Q92" s="91"/>
      <c r="R92" s="87" t="str">
        <f>IF(LOWER(TRIM($Q92)) = LOWER(TRIM(Dashboard!$A$6)), B92, "")
</f>
        <v/>
      </c>
      <c r="S92" s="87" t="str">
        <f>IF(LOWER(TRIM($Q92)) = LOWER(TRIM(Dashboard!$A$6)), C92, "")
</f>
        <v/>
      </c>
      <c r="T92" s="91" t="str">
        <f>IF(LOWER(TRIM(TEXT($Q92, "mmmm yyyy"))) = LOWER(TRIM(Dashboard!$A$6)), A92:A1000, "")
</f>
        <v/>
      </c>
    </row>
    <row r="93">
      <c r="B93" s="85"/>
      <c r="C93" s="85"/>
      <c r="E93" s="81" t="str">
        <f t="shared" si="1"/>
        <v/>
      </c>
      <c r="F93" s="84"/>
      <c r="G93" s="85"/>
      <c r="H93" s="85"/>
      <c r="L93" s="86"/>
      <c r="Q93" s="91"/>
      <c r="R93" s="87" t="str">
        <f>IF(LOWER(TRIM($Q93)) = LOWER(TRIM(Dashboard!$A$6)), B93, "")
</f>
        <v/>
      </c>
      <c r="S93" s="87" t="str">
        <f>IF(LOWER(TRIM($Q93)) = LOWER(TRIM(Dashboard!$A$6)), C93, "")
</f>
        <v/>
      </c>
      <c r="T93" s="91" t="str">
        <f>IF(LOWER(TRIM(TEXT($Q93, "mmmm yyyy"))) = LOWER(TRIM(Dashboard!$A$6)), A93:A1000, "")
</f>
        <v/>
      </c>
    </row>
    <row r="94">
      <c r="B94" s="85"/>
      <c r="C94" s="85"/>
      <c r="E94" s="81" t="str">
        <f t="shared" si="1"/>
        <v/>
      </c>
      <c r="F94" s="84"/>
      <c r="G94" s="85"/>
      <c r="H94" s="85"/>
      <c r="L94" s="86"/>
      <c r="Q94" s="91"/>
      <c r="R94" s="87" t="str">
        <f>IF(LOWER(TRIM($Q94)) = LOWER(TRIM(Dashboard!$A$6)), B94, "")
</f>
        <v/>
      </c>
      <c r="S94" s="87" t="str">
        <f>IF(LOWER(TRIM($Q94)) = LOWER(TRIM(Dashboard!$A$6)), C94, "")
</f>
        <v/>
      </c>
      <c r="T94" s="91" t="str">
        <f>IF(LOWER(TRIM(TEXT($Q94, "mmmm yyyy"))) = LOWER(TRIM(Dashboard!$A$6)), A94:A1000, "")
</f>
        <v/>
      </c>
    </row>
    <row r="95">
      <c r="B95" s="85"/>
      <c r="C95" s="85"/>
      <c r="E95" s="81" t="str">
        <f t="shared" si="1"/>
        <v/>
      </c>
      <c r="F95" s="84"/>
      <c r="G95" s="85"/>
      <c r="H95" s="85"/>
      <c r="L95" s="86"/>
      <c r="Q95" s="91"/>
      <c r="R95" s="87" t="str">
        <f>IF(LOWER(TRIM($Q95)) = LOWER(TRIM(Dashboard!$A$6)), B95, "")
</f>
        <v/>
      </c>
      <c r="S95" s="87" t="str">
        <f>IF(LOWER(TRIM($Q95)) = LOWER(TRIM(Dashboard!$A$6)), C95, "")
</f>
        <v/>
      </c>
      <c r="T95" s="91" t="str">
        <f>IF(LOWER(TRIM(TEXT($Q95, "mmmm yyyy"))) = LOWER(TRIM(Dashboard!$A$6)), A95:A1000, "")
</f>
        <v/>
      </c>
    </row>
    <row r="96">
      <c r="B96" s="85"/>
      <c r="C96" s="85"/>
      <c r="E96" s="81" t="str">
        <f t="shared" si="1"/>
        <v/>
      </c>
      <c r="F96" s="84"/>
      <c r="G96" s="85"/>
      <c r="H96" s="85"/>
      <c r="L96" s="86"/>
      <c r="Q96" s="91"/>
      <c r="R96" s="87" t="str">
        <f>IF(LOWER(TRIM($Q96)) = LOWER(TRIM(Dashboard!$A$6)), B96, "")
</f>
        <v/>
      </c>
      <c r="S96" s="87" t="str">
        <f>IF(LOWER(TRIM($Q96)) = LOWER(TRIM(Dashboard!$A$6)), C96, "")
</f>
        <v/>
      </c>
      <c r="T96" s="91" t="str">
        <f>IF(LOWER(TRIM(TEXT($Q96, "mmmm yyyy"))) = LOWER(TRIM(Dashboard!$A$6)), A96:A1000, "")
</f>
        <v/>
      </c>
    </row>
    <row r="97">
      <c r="B97" s="85"/>
      <c r="C97" s="85"/>
      <c r="E97" s="81" t="str">
        <f t="shared" si="1"/>
        <v/>
      </c>
      <c r="F97" s="84"/>
      <c r="G97" s="85"/>
      <c r="H97" s="85"/>
      <c r="L97" s="86"/>
      <c r="Q97" s="91"/>
      <c r="R97" s="87" t="str">
        <f>IF(LOWER(TRIM($Q97)) = LOWER(TRIM(Dashboard!$A$6)), B97, "")
</f>
        <v/>
      </c>
      <c r="S97" s="87" t="str">
        <f>IF(LOWER(TRIM($Q97)) = LOWER(TRIM(Dashboard!$A$6)), C97, "")
</f>
        <v/>
      </c>
      <c r="T97" s="91" t="str">
        <f>IF(LOWER(TRIM(TEXT($Q97, "mmmm yyyy"))) = LOWER(TRIM(Dashboard!$A$6)), A97:A1000, "")
</f>
        <v/>
      </c>
    </row>
    <row r="98">
      <c r="B98" s="85"/>
      <c r="C98" s="85"/>
      <c r="E98" s="81" t="str">
        <f t="shared" si="1"/>
        <v/>
      </c>
      <c r="F98" s="84"/>
      <c r="G98" s="85"/>
      <c r="H98" s="85"/>
      <c r="L98" s="86"/>
      <c r="Q98" s="91"/>
      <c r="R98" s="87" t="str">
        <f>IF(LOWER(TRIM($Q98)) = LOWER(TRIM(Dashboard!$A$6)), B98, "")
</f>
        <v/>
      </c>
      <c r="S98" s="87" t="str">
        <f>IF(LOWER(TRIM($Q98)) = LOWER(TRIM(Dashboard!$A$6)), C98, "")
</f>
        <v/>
      </c>
      <c r="T98" s="91" t="str">
        <f>IF(LOWER(TRIM(TEXT($Q98, "mmmm yyyy"))) = LOWER(TRIM(Dashboard!$A$6)), A98:A1000, "")
</f>
        <v/>
      </c>
    </row>
    <row r="99">
      <c r="B99" s="85"/>
      <c r="C99" s="85"/>
      <c r="E99" s="81" t="str">
        <f t="shared" si="1"/>
        <v/>
      </c>
      <c r="F99" s="84"/>
      <c r="G99" s="85"/>
      <c r="H99" s="85"/>
      <c r="L99" s="86"/>
      <c r="Q99" s="91"/>
      <c r="R99" s="87" t="str">
        <f>IF(LOWER(TRIM($Q99)) = LOWER(TRIM(Dashboard!$A$6)), B99, "")
</f>
        <v/>
      </c>
      <c r="S99" s="87" t="str">
        <f>IF(LOWER(TRIM($Q99)) = LOWER(TRIM(Dashboard!$A$6)), C99, "")
</f>
        <v/>
      </c>
      <c r="T99" s="91" t="str">
        <f>IF(LOWER(TRIM(TEXT($Q99, "mmmm yyyy"))) = LOWER(TRIM(Dashboard!$A$6)), A99:A1000, "")
</f>
        <v/>
      </c>
    </row>
    <row r="100">
      <c r="B100" s="85"/>
      <c r="C100" s="85"/>
      <c r="E100" s="81" t="str">
        <f t="shared" si="1"/>
        <v/>
      </c>
      <c r="F100" s="84"/>
      <c r="G100" s="85"/>
      <c r="H100" s="85"/>
      <c r="L100" s="86"/>
      <c r="Q100" s="91"/>
      <c r="R100" s="87" t="str">
        <f>IF(LOWER(TRIM($Q100)) = LOWER(TRIM(Dashboard!$A$6)), B100, "")
</f>
        <v/>
      </c>
      <c r="S100" s="87" t="str">
        <f>IF(LOWER(TRIM($Q100)) = LOWER(TRIM(Dashboard!$A$6)), C100, "")
</f>
        <v/>
      </c>
      <c r="T100" s="91" t="str">
        <f>IF(LOWER(TRIM(TEXT($Q100, "mmmm yyyy"))) = LOWER(TRIM(Dashboard!$A$6)), A100:A1000, "")
</f>
        <v/>
      </c>
    </row>
    <row r="101">
      <c r="B101" s="85"/>
      <c r="C101" s="85"/>
      <c r="E101" s="81" t="str">
        <f t="shared" si="1"/>
        <v/>
      </c>
      <c r="F101" s="84"/>
      <c r="G101" s="85"/>
      <c r="H101" s="85"/>
      <c r="L101" s="86"/>
      <c r="Q101" s="91"/>
      <c r="R101" s="87" t="str">
        <f>IF(LOWER(TRIM($Q101)) = LOWER(TRIM(Dashboard!$A$6)), B101, "")
</f>
        <v/>
      </c>
      <c r="S101" s="87" t="str">
        <f>IF(LOWER(TRIM($Q101)) = LOWER(TRIM(Dashboard!$A$6)), C101, "")
</f>
        <v/>
      </c>
      <c r="T101" s="91" t="str">
        <f>IF(LOWER(TRIM(TEXT($Q101, "mmmm yyyy"))) = LOWER(TRIM(Dashboard!$A$6)), A101:A1000, "")
</f>
        <v/>
      </c>
    </row>
    <row r="102">
      <c r="B102" s="85"/>
      <c r="C102" s="85"/>
      <c r="E102" s="81" t="str">
        <f t="shared" si="1"/>
        <v/>
      </c>
      <c r="F102" s="84"/>
      <c r="G102" s="85"/>
      <c r="H102" s="85"/>
      <c r="L102" s="86"/>
      <c r="Q102" s="91"/>
      <c r="R102" s="87" t="str">
        <f>IF(LOWER(TRIM($Q102)) = LOWER(TRIM(Dashboard!$A$6)), B102, "")
</f>
        <v/>
      </c>
      <c r="S102" s="87" t="str">
        <f>IF(LOWER(TRIM($Q102)) = LOWER(TRIM(Dashboard!$A$6)), C102, "")
</f>
        <v/>
      </c>
      <c r="T102" s="91" t="str">
        <f>IF(LOWER(TRIM(TEXT($Q102, "mmmm yyyy"))) = LOWER(TRIM(Dashboard!$A$6)), A102:A1000, "")
</f>
        <v/>
      </c>
    </row>
    <row r="103">
      <c r="B103" s="85"/>
      <c r="C103" s="85"/>
      <c r="E103" s="81" t="str">
        <f t="shared" si="1"/>
        <v/>
      </c>
      <c r="F103" s="84"/>
      <c r="G103" s="85"/>
      <c r="H103" s="85"/>
      <c r="L103" s="86"/>
      <c r="Q103" s="91"/>
      <c r="R103" s="87" t="str">
        <f>IF(LOWER(TRIM($Q103)) = LOWER(TRIM(Dashboard!$A$6)), B103, "")
</f>
        <v/>
      </c>
      <c r="S103" s="87" t="str">
        <f>IF(LOWER(TRIM($Q103)) = LOWER(TRIM(Dashboard!$A$6)), C103, "")
</f>
        <v/>
      </c>
      <c r="T103" s="91" t="str">
        <f>IF(LOWER(TRIM(TEXT($Q103, "mmmm yyyy"))) = LOWER(TRIM(Dashboard!$A$6)), A103:A1000, "")
</f>
        <v/>
      </c>
    </row>
    <row r="104">
      <c r="B104" s="85"/>
      <c r="C104" s="85"/>
      <c r="E104" s="81" t="str">
        <f t="shared" si="1"/>
        <v/>
      </c>
      <c r="F104" s="84"/>
      <c r="G104" s="85"/>
      <c r="H104" s="85"/>
      <c r="L104" s="86"/>
      <c r="Q104" s="91"/>
      <c r="R104" s="87" t="str">
        <f>IF(LOWER(TRIM($Q104)) = LOWER(TRIM(Dashboard!$A$6)), B104, "")
</f>
        <v/>
      </c>
      <c r="S104" s="87" t="str">
        <f>IF(LOWER(TRIM($Q104)) = LOWER(TRIM(Dashboard!$A$6)), C104, "")
</f>
        <v/>
      </c>
      <c r="T104" s="91" t="str">
        <f>IF(LOWER(TRIM(TEXT($Q104, "mmmm yyyy"))) = LOWER(TRIM(Dashboard!$A$6)), A104:A1000, "")
</f>
        <v/>
      </c>
    </row>
    <row r="105">
      <c r="B105" s="85"/>
      <c r="C105" s="85"/>
      <c r="E105" s="81" t="str">
        <f t="shared" si="1"/>
        <v/>
      </c>
      <c r="F105" s="84"/>
      <c r="G105" s="85"/>
      <c r="H105" s="85"/>
      <c r="L105" s="86"/>
      <c r="Q105" s="91"/>
      <c r="R105" s="87" t="str">
        <f>IF(LOWER(TRIM($Q105)) = LOWER(TRIM(Dashboard!$A$6)), B105, "")
</f>
        <v/>
      </c>
      <c r="S105" s="87" t="str">
        <f>IF(LOWER(TRIM($Q105)) = LOWER(TRIM(Dashboard!$A$6)), C105, "")
</f>
        <v/>
      </c>
      <c r="T105" s="91" t="str">
        <f>IF(LOWER(TRIM(TEXT($Q105, "mmmm yyyy"))) = LOWER(TRIM(Dashboard!$A$6)), A105:A1000, "")
</f>
        <v/>
      </c>
    </row>
    <row r="106">
      <c r="B106" s="85"/>
      <c r="C106" s="85"/>
      <c r="E106" s="81" t="str">
        <f t="shared" si="1"/>
        <v/>
      </c>
      <c r="F106" s="84"/>
      <c r="G106" s="85"/>
      <c r="H106" s="85"/>
      <c r="L106" s="86"/>
      <c r="Q106" s="91"/>
      <c r="R106" s="87" t="str">
        <f>IF(LOWER(TRIM($Q106)) = LOWER(TRIM(Dashboard!$A$6)), B106, "")
</f>
        <v/>
      </c>
      <c r="S106" s="87" t="str">
        <f>IF(LOWER(TRIM($Q106)) = LOWER(TRIM(Dashboard!$A$6)), C106, "")
</f>
        <v/>
      </c>
      <c r="T106" s="91" t="str">
        <f>IF(LOWER(TRIM(TEXT($Q106, "mmmm yyyy"))) = LOWER(TRIM(Dashboard!$A$6)), A106:A1000, "")
</f>
        <v/>
      </c>
    </row>
    <row r="107">
      <c r="B107" s="85"/>
      <c r="C107" s="85"/>
      <c r="E107" s="81" t="str">
        <f t="shared" si="1"/>
        <v/>
      </c>
      <c r="F107" s="84"/>
      <c r="G107" s="85"/>
      <c r="H107" s="85"/>
      <c r="L107" s="86"/>
      <c r="Q107" s="91"/>
      <c r="R107" s="87" t="str">
        <f>IF(LOWER(TRIM($Q107)) = LOWER(TRIM(Dashboard!$A$6)), B107, "")
</f>
        <v/>
      </c>
      <c r="S107" s="87" t="str">
        <f>IF(LOWER(TRIM($Q107)) = LOWER(TRIM(Dashboard!$A$6)), C107, "")
</f>
        <v/>
      </c>
      <c r="T107" s="91" t="str">
        <f>IF(LOWER(TRIM(TEXT($Q107, "mmmm yyyy"))) = LOWER(TRIM(Dashboard!$A$6)), A107:A1000, "")
</f>
        <v/>
      </c>
    </row>
    <row r="108">
      <c r="B108" s="85"/>
      <c r="C108" s="85"/>
      <c r="E108" s="81" t="str">
        <f t="shared" si="1"/>
        <v/>
      </c>
      <c r="F108" s="84"/>
      <c r="G108" s="85"/>
      <c r="H108" s="85"/>
      <c r="L108" s="86"/>
      <c r="Q108" s="91"/>
      <c r="R108" s="87" t="str">
        <f>IF(LOWER(TRIM($Q108)) = LOWER(TRIM(Dashboard!$A$6)), B108, "")
</f>
        <v/>
      </c>
      <c r="S108" s="87" t="str">
        <f>IF(LOWER(TRIM($Q108)) = LOWER(TRIM(Dashboard!$A$6)), C108, "")
</f>
        <v/>
      </c>
      <c r="T108" s="91" t="str">
        <f>IF(LOWER(TRIM(TEXT($Q108, "mmmm yyyy"))) = LOWER(TRIM(Dashboard!$A$6)), A108:A1000, "")
</f>
        <v/>
      </c>
    </row>
    <row r="109">
      <c r="B109" s="85"/>
      <c r="C109" s="85"/>
      <c r="E109" s="81" t="str">
        <f t="shared" si="1"/>
        <v/>
      </c>
      <c r="F109" s="84"/>
      <c r="G109" s="85"/>
      <c r="H109" s="85"/>
      <c r="L109" s="86"/>
      <c r="Q109" s="91"/>
      <c r="R109" s="87" t="str">
        <f>IF(LOWER(TRIM($Q109)) = LOWER(TRIM(Dashboard!$A$6)), B109, "")
</f>
        <v/>
      </c>
      <c r="S109" s="87" t="str">
        <f>IF(LOWER(TRIM($Q109)) = LOWER(TRIM(Dashboard!$A$6)), C109, "")
</f>
        <v/>
      </c>
      <c r="T109" s="91" t="str">
        <f>IF(LOWER(TRIM(TEXT($Q109, "mmmm yyyy"))) = LOWER(TRIM(Dashboard!$A$6)), A109:A1000, "")
</f>
        <v/>
      </c>
    </row>
    <row r="110">
      <c r="B110" s="85"/>
      <c r="C110" s="85"/>
      <c r="E110" s="81" t="str">
        <f t="shared" si="1"/>
        <v/>
      </c>
      <c r="F110" s="84"/>
      <c r="G110" s="85"/>
      <c r="H110" s="85"/>
      <c r="L110" s="86"/>
      <c r="Q110" s="91"/>
      <c r="R110" s="87" t="str">
        <f>IF(LOWER(TRIM($Q110)) = LOWER(TRIM(Dashboard!$A$6)), B110, "")
</f>
        <v/>
      </c>
      <c r="S110" s="87" t="str">
        <f>IF(LOWER(TRIM($Q110)) = LOWER(TRIM(Dashboard!$A$6)), C110, "")
</f>
        <v/>
      </c>
      <c r="T110" s="91" t="str">
        <f>IF(LOWER(TRIM(TEXT($Q110, "mmmm yyyy"))) = LOWER(TRIM(Dashboard!$A$6)), A110:A1000, "")
</f>
        <v/>
      </c>
    </row>
    <row r="111">
      <c r="B111" s="85"/>
      <c r="C111" s="85"/>
      <c r="E111" s="81" t="str">
        <f t="shared" si="1"/>
        <v/>
      </c>
      <c r="F111" s="84"/>
      <c r="G111" s="85"/>
      <c r="H111" s="85"/>
      <c r="L111" s="86"/>
      <c r="Q111" s="91"/>
      <c r="R111" s="87" t="str">
        <f>IF(LOWER(TRIM($Q111)) = LOWER(TRIM(Dashboard!$A$6)), B111, "")
</f>
        <v/>
      </c>
      <c r="S111" s="87" t="str">
        <f>IF(LOWER(TRIM($Q111)) = LOWER(TRIM(Dashboard!$A$6)), C111, "")
</f>
        <v/>
      </c>
      <c r="T111" s="91" t="str">
        <f>IF(LOWER(TRIM(TEXT($Q111, "mmmm yyyy"))) = LOWER(TRIM(Dashboard!$A$6)), A111:A1000, "")
</f>
        <v/>
      </c>
    </row>
    <row r="112">
      <c r="B112" s="85"/>
      <c r="C112" s="85"/>
      <c r="E112" s="81" t="str">
        <f t="shared" si="1"/>
        <v/>
      </c>
      <c r="F112" s="84"/>
      <c r="G112" s="85"/>
      <c r="H112" s="85"/>
      <c r="L112" s="86"/>
      <c r="Q112" s="91"/>
      <c r="R112" s="87" t="str">
        <f>IF(LOWER(TRIM($Q112)) = LOWER(TRIM(Dashboard!$A$6)), B112, "")
</f>
        <v/>
      </c>
      <c r="S112" s="87" t="str">
        <f>IF(LOWER(TRIM($Q112)) = LOWER(TRIM(Dashboard!$A$6)), C112, "")
</f>
        <v/>
      </c>
      <c r="T112" s="91" t="str">
        <f>IF(LOWER(TRIM(TEXT($Q112, "mmmm yyyy"))) = LOWER(TRIM(Dashboard!$A$6)), A112:A1000, "")
</f>
        <v/>
      </c>
    </row>
    <row r="113">
      <c r="B113" s="85"/>
      <c r="C113" s="85"/>
      <c r="E113" s="81" t="str">
        <f t="shared" si="1"/>
        <v/>
      </c>
      <c r="F113" s="84"/>
      <c r="G113" s="85"/>
      <c r="H113" s="85"/>
      <c r="L113" s="86"/>
      <c r="Q113" s="91"/>
      <c r="R113" s="87" t="str">
        <f>IF(LOWER(TRIM($Q113)) = LOWER(TRIM(Dashboard!$A$6)), B113, "")
</f>
        <v/>
      </c>
      <c r="S113" s="87" t="str">
        <f>IF(LOWER(TRIM($Q113)) = LOWER(TRIM(Dashboard!$A$6)), C113, "")
</f>
        <v/>
      </c>
      <c r="T113" s="91" t="str">
        <f>IF(LOWER(TRIM(TEXT($Q113, "mmmm yyyy"))) = LOWER(TRIM(Dashboard!$A$6)), A113:A1000, "")
</f>
        <v/>
      </c>
    </row>
    <row r="114">
      <c r="B114" s="85"/>
      <c r="C114" s="85"/>
      <c r="E114" s="81" t="str">
        <f t="shared" si="1"/>
        <v/>
      </c>
      <c r="F114" s="84"/>
      <c r="G114" s="85"/>
      <c r="H114" s="85"/>
      <c r="L114" s="86"/>
      <c r="Q114" s="91"/>
      <c r="R114" s="87" t="str">
        <f>IF(LOWER(TRIM($Q114)) = LOWER(TRIM(Dashboard!$A$6)), B114, "")
</f>
        <v/>
      </c>
      <c r="S114" s="87" t="str">
        <f>IF(LOWER(TRIM($Q114)) = LOWER(TRIM(Dashboard!$A$6)), C114, "")
</f>
        <v/>
      </c>
      <c r="T114" s="91" t="str">
        <f>IF(LOWER(TRIM(TEXT($Q114, "mmmm yyyy"))) = LOWER(TRIM(Dashboard!$A$6)), A114:A1000, "")
</f>
        <v/>
      </c>
    </row>
    <row r="115">
      <c r="B115" s="85"/>
      <c r="C115" s="85"/>
      <c r="E115" s="81" t="str">
        <f t="shared" si="1"/>
        <v/>
      </c>
      <c r="F115" s="84"/>
      <c r="G115" s="85"/>
      <c r="H115" s="85"/>
      <c r="L115" s="86"/>
      <c r="Q115" s="91"/>
      <c r="R115" s="87" t="str">
        <f>IF(LOWER(TRIM($Q115)) = LOWER(TRIM(Dashboard!$A$6)), B115, "")
</f>
        <v/>
      </c>
      <c r="S115" s="87" t="str">
        <f>IF(LOWER(TRIM($Q115)) = LOWER(TRIM(Dashboard!$A$6)), C115, "")
</f>
        <v/>
      </c>
      <c r="T115" s="91" t="str">
        <f>IF(LOWER(TRIM(TEXT($Q115, "mmmm yyyy"))) = LOWER(TRIM(Dashboard!$A$6)), A115:A1000, "")
</f>
        <v/>
      </c>
    </row>
    <row r="116">
      <c r="B116" s="85"/>
      <c r="C116" s="85"/>
      <c r="E116" s="81" t="str">
        <f t="shared" si="1"/>
        <v/>
      </c>
      <c r="F116" s="84"/>
      <c r="G116" s="85"/>
      <c r="H116" s="85"/>
      <c r="L116" s="86"/>
      <c r="Q116" s="91"/>
      <c r="R116" s="87" t="str">
        <f>IF(LOWER(TRIM($Q116)) = LOWER(TRIM(Dashboard!$A$6)), B116, "")
</f>
        <v/>
      </c>
      <c r="S116" s="87" t="str">
        <f>IF(LOWER(TRIM($Q116)) = LOWER(TRIM(Dashboard!$A$6)), C116, "")
</f>
        <v/>
      </c>
      <c r="T116" s="91" t="str">
        <f>IF(LOWER(TRIM(TEXT($Q116, "mmmm yyyy"))) = LOWER(TRIM(Dashboard!$A$6)), A116:A1000, "")
</f>
        <v/>
      </c>
    </row>
    <row r="117">
      <c r="B117" s="85"/>
      <c r="C117" s="85"/>
      <c r="E117" s="81" t="str">
        <f t="shared" si="1"/>
        <v/>
      </c>
      <c r="F117" s="84"/>
      <c r="G117" s="85"/>
      <c r="H117" s="85"/>
      <c r="L117" s="86"/>
      <c r="Q117" s="91"/>
      <c r="R117" s="87" t="str">
        <f>IF(LOWER(TRIM($Q117)) = LOWER(TRIM(Dashboard!$A$6)), B117, "")
</f>
        <v/>
      </c>
      <c r="S117" s="87" t="str">
        <f>IF(LOWER(TRIM($Q117)) = LOWER(TRIM(Dashboard!$A$6)), C117, "")
</f>
        <v/>
      </c>
      <c r="T117" s="91" t="str">
        <f>IF(LOWER(TRIM(TEXT($Q117, "mmmm yyyy"))) = LOWER(TRIM(Dashboard!$A$6)), A117:A1000, "")
</f>
        <v/>
      </c>
    </row>
    <row r="118">
      <c r="B118" s="85"/>
      <c r="C118" s="85"/>
      <c r="E118" s="81" t="str">
        <f t="shared" si="1"/>
        <v/>
      </c>
      <c r="F118" s="84"/>
      <c r="G118" s="85"/>
      <c r="H118" s="85"/>
      <c r="L118" s="86"/>
      <c r="Q118" s="91"/>
      <c r="R118" s="87" t="str">
        <f>IF(LOWER(TRIM($Q118)) = LOWER(TRIM(Dashboard!$A$6)), B118, "")
</f>
        <v/>
      </c>
      <c r="S118" s="87" t="str">
        <f>IF(LOWER(TRIM($Q118)) = LOWER(TRIM(Dashboard!$A$6)), C118, "")
</f>
        <v/>
      </c>
      <c r="T118" s="91" t="str">
        <f>IF(LOWER(TRIM(TEXT($Q118, "mmmm yyyy"))) = LOWER(TRIM(Dashboard!$A$6)), A118:A1000, "")
</f>
        <v/>
      </c>
    </row>
    <row r="119">
      <c r="B119" s="85"/>
      <c r="C119" s="85"/>
      <c r="E119" s="81" t="str">
        <f t="shared" si="1"/>
        <v/>
      </c>
      <c r="F119" s="84"/>
      <c r="G119" s="85"/>
      <c r="H119" s="85"/>
      <c r="L119" s="86"/>
      <c r="Q119" s="91"/>
      <c r="R119" s="87" t="str">
        <f>IF(LOWER(TRIM($Q119)) = LOWER(TRIM(Dashboard!$A$6)), B119, "")
</f>
        <v/>
      </c>
      <c r="S119" s="87" t="str">
        <f>IF(LOWER(TRIM($Q119)) = LOWER(TRIM(Dashboard!$A$6)), C119, "")
</f>
        <v/>
      </c>
      <c r="T119" s="91" t="str">
        <f>IF(LOWER(TRIM(TEXT($Q119, "mmmm yyyy"))) = LOWER(TRIM(Dashboard!$A$6)), A119:A1000, "")
</f>
        <v/>
      </c>
    </row>
    <row r="120">
      <c r="B120" s="85"/>
      <c r="C120" s="85"/>
      <c r="E120" s="81" t="str">
        <f t="shared" si="1"/>
        <v/>
      </c>
      <c r="F120" s="84"/>
      <c r="G120" s="85"/>
      <c r="H120" s="85"/>
      <c r="L120" s="86"/>
      <c r="Q120" s="91"/>
      <c r="R120" s="87" t="str">
        <f>IF(LOWER(TRIM($Q120)) = LOWER(TRIM(Dashboard!$A$6)), B120, "")
</f>
        <v/>
      </c>
      <c r="S120" s="87" t="str">
        <f>IF(LOWER(TRIM($Q120)) = LOWER(TRIM(Dashboard!$A$6)), C120, "")
</f>
        <v/>
      </c>
      <c r="T120" s="91" t="str">
        <f>IF(LOWER(TRIM(TEXT($Q120, "mmmm yyyy"))) = LOWER(TRIM(Dashboard!$A$6)), A120:A1000, "")
</f>
        <v/>
      </c>
    </row>
    <row r="121">
      <c r="B121" s="85"/>
      <c r="C121" s="85"/>
      <c r="E121" s="81" t="str">
        <f t="shared" si="1"/>
        <v/>
      </c>
      <c r="F121" s="84"/>
      <c r="G121" s="85"/>
      <c r="H121" s="85"/>
      <c r="L121" s="86"/>
      <c r="Q121" s="91"/>
      <c r="R121" s="87" t="str">
        <f>IF(LOWER(TRIM($Q121)) = LOWER(TRIM(Dashboard!$A$6)), B121, "")
</f>
        <v/>
      </c>
      <c r="S121" s="87" t="str">
        <f>IF(LOWER(TRIM($Q121)) = LOWER(TRIM(Dashboard!$A$6)), C121, "")
</f>
        <v/>
      </c>
      <c r="T121" s="91" t="str">
        <f>IF(LOWER(TRIM(TEXT($Q121, "mmmm yyyy"))) = LOWER(TRIM(Dashboard!$A$6)), A121:A1000, "")
</f>
        <v/>
      </c>
    </row>
    <row r="122">
      <c r="B122" s="85"/>
      <c r="C122" s="85"/>
      <c r="E122" s="81" t="str">
        <f t="shared" si="1"/>
        <v/>
      </c>
      <c r="F122" s="84"/>
      <c r="G122" s="85"/>
      <c r="H122" s="85"/>
      <c r="L122" s="86"/>
      <c r="Q122" s="91"/>
      <c r="R122" s="87" t="str">
        <f>IF(LOWER(TRIM($Q122)) = LOWER(TRIM(Dashboard!$A$6)), B122, "")
</f>
        <v/>
      </c>
      <c r="S122" s="87" t="str">
        <f>IF(LOWER(TRIM($Q122)) = LOWER(TRIM(Dashboard!$A$6)), C122, "")
</f>
        <v/>
      </c>
      <c r="T122" s="91" t="str">
        <f>IF(LOWER(TRIM(TEXT($Q122, "mmmm yyyy"))) = LOWER(TRIM(Dashboard!$A$6)), A122:A1000, "")
</f>
        <v/>
      </c>
    </row>
    <row r="123">
      <c r="B123" s="85"/>
      <c r="C123" s="85"/>
      <c r="E123" s="81" t="str">
        <f t="shared" si="1"/>
        <v/>
      </c>
      <c r="F123" s="84"/>
      <c r="G123" s="85"/>
      <c r="H123" s="85"/>
      <c r="L123" s="86"/>
      <c r="Q123" s="91"/>
      <c r="R123" s="87" t="str">
        <f>IF(LOWER(TRIM($Q123)) = LOWER(TRIM(Dashboard!$A$6)), B123, "")
</f>
        <v/>
      </c>
      <c r="S123" s="87" t="str">
        <f>IF(LOWER(TRIM($Q123)) = LOWER(TRIM(Dashboard!$A$6)), C123, "")
</f>
        <v/>
      </c>
      <c r="T123" s="91" t="str">
        <f>IF(LOWER(TRIM(TEXT($Q123, "mmmm yyyy"))) = LOWER(TRIM(Dashboard!$A$6)), A123:A1000, "")
</f>
        <v/>
      </c>
    </row>
    <row r="124">
      <c r="B124" s="85"/>
      <c r="C124" s="85"/>
      <c r="E124" s="81" t="str">
        <f t="shared" si="1"/>
        <v/>
      </c>
      <c r="F124" s="84"/>
      <c r="G124" s="85"/>
      <c r="H124" s="85"/>
      <c r="L124" s="86"/>
      <c r="Q124" s="91"/>
      <c r="R124" s="87" t="str">
        <f>IF(LOWER(TRIM($Q124)) = LOWER(TRIM(Dashboard!$A$6)), B124, "")
</f>
        <v/>
      </c>
      <c r="S124" s="87" t="str">
        <f>IF(LOWER(TRIM($Q124)) = LOWER(TRIM(Dashboard!$A$6)), C124, "")
</f>
        <v/>
      </c>
      <c r="T124" s="91" t="str">
        <f>IF(LOWER(TRIM(TEXT($Q124, "mmmm yyyy"))) = LOWER(TRIM(Dashboard!$A$6)), A124:A1000, "")
</f>
        <v/>
      </c>
    </row>
    <row r="125">
      <c r="B125" s="85"/>
      <c r="C125" s="85"/>
      <c r="E125" s="81" t="str">
        <f t="shared" si="1"/>
        <v/>
      </c>
      <c r="F125" s="84"/>
      <c r="G125" s="85"/>
      <c r="H125" s="85"/>
      <c r="L125" s="86"/>
      <c r="Q125" s="91"/>
      <c r="R125" s="87" t="str">
        <f>IF(LOWER(TRIM($Q125)) = LOWER(TRIM(Dashboard!$A$6)), B125, "")
</f>
        <v/>
      </c>
      <c r="S125" s="87" t="str">
        <f>IF(LOWER(TRIM($Q125)) = LOWER(TRIM(Dashboard!$A$6)), C125, "")
</f>
        <v/>
      </c>
      <c r="T125" s="91" t="str">
        <f>IF(LOWER(TRIM(TEXT($Q125, "mmmm yyyy"))) = LOWER(TRIM(Dashboard!$A$6)), A125:A1000, "")
</f>
        <v/>
      </c>
    </row>
    <row r="126">
      <c r="B126" s="85"/>
      <c r="C126" s="85"/>
      <c r="E126" s="81" t="str">
        <f t="shared" si="1"/>
        <v/>
      </c>
      <c r="F126" s="84"/>
      <c r="G126" s="85"/>
      <c r="H126" s="85"/>
      <c r="L126" s="86"/>
      <c r="Q126" s="91"/>
      <c r="R126" s="87" t="str">
        <f>IF(LOWER(TRIM($Q126)) = LOWER(TRIM(Dashboard!$A$6)), B126, "")
</f>
        <v/>
      </c>
      <c r="S126" s="87" t="str">
        <f>IF(LOWER(TRIM($Q126)) = LOWER(TRIM(Dashboard!$A$6)), C126, "")
</f>
        <v/>
      </c>
      <c r="T126" s="91" t="str">
        <f>IF(LOWER(TRIM(TEXT($Q126, "mmmm yyyy"))) = LOWER(TRIM(Dashboard!$A$6)), A126:A1000, "")
</f>
        <v/>
      </c>
    </row>
    <row r="127">
      <c r="B127" s="85"/>
      <c r="C127" s="85"/>
      <c r="E127" s="81" t="str">
        <f t="shared" si="1"/>
        <v/>
      </c>
      <c r="F127" s="84"/>
      <c r="G127" s="85"/>
      <c r="H127" s="85"/>
      <c r="L127" s="86"/>
      <c r="Q127" s="91"/>
      <c r="R127" s="87" t="str">
        <f>IF(LOWER(TRIM($Q127)) = LOWER(TRIM(Dashboard!$A$6)), B127, "")
</f>
        <v/>
      </c>
      <c r="S127" s="87" t="str">
        <f>IF(LOWER(TRIM($Q127)) = LOWER(TRIM(Dashboard!$A$6)), C127, "")
</f>
        <v/>
      </c>
      <c r="T127" s="91" t="str">
        <f>IF(LOWER(TRIM(TEXT($Q127, "mmmm yyyy"))) = LOWER(TRIM(Dashboard!$A$6)), A127:A1000, "")
</f>
        <v/>
      </c>
    </row>
    <row r="128">
      <c r="B128" s="85"/>
      <c r="C128" s="85"/>
      <c r="E128" s="81" t="str">
        <f t="shared" si="1"/>
        <v/>
      </c>
      <c r="F128" s="84"/>
      <c r="G128" s="85"/>
      <c r="H128" s="85"/>
      <c r="L128" s="86"/>
      <c r="Q128" s="91"/>
      <c r="R128" s="87" t="str">
        <f>IF(LOWER(TRIM($Q128)) = LOWER(TRIM(Dashboard!$A$6)), B128, "")
</f>
        <v/>
      </c>
      <c r="S128" s="87" t="str">
        <f>IF(LOWER(TRIM($Q128)) = LOWER(TRIM(Dashboard!$A$6)), C128, "")
</f>
        <v/>
      </c>
      <c r="T128" s="91" t="str">
        <f>IF(LOWER(TRIM(TEXT($Q128, "mmmm yyyy"))) = LOWER(TRIM(Dashboard!$A$6)), A128:A1000, "")
</f>
        <v/>
      </c>
    </row>
    <row r="129">
      <c r="B129" s="85"/>
      <c r="C129" s="85"/>
      <c r="E129" s="81" t="str">
        <f t="shared" si="1"/>
        <v/>
      </c>
      <c r="F129" s="84"/>
      <c r="G129" s="85"/>
      <c r="H129" s="85"/>
      <c r="L129" s="86"/>
      <c r="Q129" s="91"/>
      <c r="R129" s="87" t="str">
        <f>IF(LOWER(TRIM($Q129)) = LOWER(TRIM(Dashboard!$A$6)), B129, "")
</f>
        <v/>
      </c>
      <c r="S129" s="87" t="str">
        <f>IF(LOWER(TRIM($Q129)) = LOWER(TRIM(Dashboard!$A$6)), C129, "")
</f>
        <v/>
      </c>
      <c r="T129" s="91" t="str">
        <f>IF(LOWER(TRIM(TEXT($Q129, "mmmm yyyy"))) = LOWER(TRIM(Dashboard!$A$6)), A129:A1000, "")
</f>
        <v/>
      </c>
    </row>
    <row r="130">
      <c r="B130" s="85"/>
      <c r="C130" s="85"/>
      <c r="E130" s="81" t="str">
        <f t="shared" si="1"/>
        <v/>
      </c>
      <c r="F130" s="84"/>
      <c r="G130" s="85"/>
      <c r="H130" s="85"/>
      <c r="L130" s="86"/>
      <c r="Q130" s="91"/>
      <c r="R130" s="87" t="str">
        <f>IF(LOWER(TRIM($Q130)) = LOWER(TRIM(Dashboard!$A$6)), B130, "")
</f>
        <v/>
      </c>
      <c r="S130" s="87" t="str">
        <f>IF(LOWER(TRIM($Q130)) = LOWER(TRIM(Dashboard!$A$6)), C130, "")
</f>
        <v/>
      </c>
      <c r="T130" s="91" t="str">
        <f>IF(LOWER(TRIM(TEXT($Q130, "mmmm yyyy"))) = LOWER(TRIM(Dashboard!$A$6)), A130:A1000, "")
</f>
        <v/>
      </c>
    </row>
    <row r="131">
      <c r="B131" s="85"/>
      <c r="C131" s="85"/>
      <c r="E131" s="81" t="str">
        <f t="shared" si="1"/>
        <v/>
      </c>
      <c r="F131" s="84"/>
      <c r="G131" s="85"/>
      <c r="H131" s="85"/>
      <c r="L131" s="86"/>
      <c r="Q131" s="91"/>
      <c r="R131" s="87" t="str">
        <f>IF(LOWER(TRIM($Q131)) = LOWER(TRIM(Dashboard!$A$6)), B131, "")
</f>
        <v/>
      </c>
      <c r="S131" s="87" t="str">
        <f>IF(LOWER(TRIM($Q131)) = LOWER(TRIM(Dashboard!$A$6)), C131, "")
</f>
        <v/>
      </c>
      <c r="T131" s="91" t="str">
        <f>IF(LOWER(TRIM(TEXT($Q131, "mmmm yyyy"))) = LOWER(TRIM(Dashboard!$A$6)), A131:A1000, "")
</f>
        <v/>
      </c>
    </row>
    <row r="132">
      <c r="B132" s="85"/>
      <c r="C132" s="85"/>
      <c r="E132" s="81" t="str">
        <f t="shared" si="1"/>
        <v/>
      </c>
      <c r="F132" s="84"/>
      <c r="G132" s="85"/>
      <c r="H132" s="85"/>
      <c r="L132" s="86"/>
      <c r="Q132" s="91"/>
      <c r="R132" s="87" t="str">
        <f>IF(LOWER(TRIM($Q132)) = LOWER(TRIM(Dashboard!$A$6)), B132, "")
</f>
        <v/>
      </c>
      <c r="S132" s="87" t="str">
        <f>IF(LOWER(TRIM($Q132)) = LOWER(TRIM(Dashboard!$A$6)), C132, "")
</f>
        <v/>
      </c>
      <c r="T132" s="91" t="str">
        <f>IF(LOWER(TRIM(TEXT($Q132, "mmmm yyyy"))) = LOWER(TRIM(Dashboard!$A$6)), A132:A1000, "")
</f>
        <v/>
      </c>
    </row>
    <row r="133">
      <c r="B133" s="85"/>
      <c r="C133" s="85"/>
      <c r="E133" s="81" t="str">
        <f t="shared" si="1"/>
        <v/>
      </c>
      <c r="F133" s="84"/>
      <c r="G133" s="85"/>
      <c r="H133" s="85"/>
      <c r="L133" s="86"/>
      <c r="Q133" s="91"/>
      <c r="R133" s="87" t="str">
        <f>IF(LOWER(TRIM($Q133)) = LOWER(TRIM(Dashboard!$A$6)), B133, "")
</f>
        <v/>
      </c>
      <c r="S133" s="87" t="str">
        <f>IF(LOWER(TRIM($Q133)) = LOWER(TRIM(Dashboard!$A$6)), C133, "")
</f>
        <v/>
      </c>
      <c r="T133" s="91" t="str">
        <f>IF(LOWER(TRIM(TEXT($Q133, "mmmm yyyy"))) = LOWER(TRIM(Dashboard!$A$6)), A133:A1000, "")
</f>
        <v/>
      </c>
    </row>
    <row r="134">
      <c r="B134" s="85"/>
      <c r="C134" s="85"/>
      <c r="E134" s="81" t="str">
        <f t="shared" si="1"/>
        <v/>
      </c>
      <c r="F134" s="84"/>
      <c r="G134" s="85"/>
      <c r="H134" s="85"/>
      <c r="L134" s="86"/>
      <c r="Q134" s="91"/>
      <c r="R134" s="87" t="str">
        <f>IF(LOWER(TRIM($Q134)) = LOWER(TRIM(Dashboard!$A$6)), B134, "")
</f>
        <v/>
      </c>
      <c r="S134" s="87" t="str">
        <f>IF(LOWER(TRIM($Q134)) = LOWER(TRIM(Dashboard!$A$6)), C134, "")
</f>
        <v/>
      </c>
      <c r="T134" s="91" t="str">
        <f>IF(LOWER(TRIM(TEXT($Q134, "mmmm yyyy"))) = LOWER(TRIM(Dashboard!$A$6)), A134:A1000, "")
</f>
        <v/>
      </c>
    </row>
    <row r="135">
      <c r="B135" s="85"/>
      <c r="C135" s="85"/>
      <c r="E135" s="81" t="str">
        <f t="shared" si="1"/>
        <v/>
      </c>
      <c r="F135" s="84"/>
      <c r="G135" s="85"/>
      <c r="H135" s="85"/>
      <c r="L135" s="86"/>
      <c r="Q135" s="91"/>
      <c r="R135" s="87" t="str">
        <f>IF(LOWER(TRIM($Q135)) = LOWER(TRIM(Dashboard!$A$6)), B135, "")
</f>
        <v/>
      </c>
      <c r="S135" s="87" t="str">
        <f>IF(LOWER(TRIM($Q135)) = LOWER(TRIM(Dashboard!$A$6)), C135, "")
</f>
        <v/>
      </c>
      <c r="T135" s="91" t="str">
        <f>IF(LOWER(TRIM(TEXT($Q135, "mmmm yyyy"))) = LOWER(TRIM(Dashboard!$A$6)), A135:A1000, "")
</f>
        <v/>
      </c>
    </row>
    <row r="136">
      <c r="B136" s="85"/>
      <c r="C136" s="85"/>
      <c r="E136" s="81" t="str">
        <f t="shared" si="1"/>
        <v/>
      </c>
      <c r="F136" s="84"/>
      <c r="G136" s="85"/>
      <c r="H136" s="85"/>
      <c r="L136" s="86"/>
      <c r="Q136" s="91"/>
      <c r="R136" s="87" t="str">
        <f>IF(LOWER(TRIM($Q136)) = LOWER(TRIM(Dashboard!$A$6)), B136, "")
</f>
        <v/>
      </c>
      <c r="S136" s="87" t="str">
        <f>IF(LOWER(TRIM($Q136)) = LOWER(TRIM(Dashboard!$A$6)), C136, "")
</f>
        <v/>
      </c>
      <c r="T136" s="91" t="str">
        <f>IF(LOWER(TRIM(TEXT($Q136, "mmmm yyyy"))) = LOWER(TRIM(Dashboard!$A$6)), A136:A1000, "")
</f>
        <v/>
      </c>
    </row>
    <row r="137">
      <c r="B137" s="85"/>
      <c r="C137" s="85"/>
      <c r="E137" s="81" t="str">
        <f t="shared" si="1"/>
        <v/>
      </c>
      <c r="F137" s="84"/>
      <c r="G137" s="85"/>
      <c r="H137" s="85"/>
      <c r="L137" s="86"/>
      <c r="Q137" s="91"/>
      <c r="R137" s="87" t="str">
        <f>IF(LOWER(TRIM($Q137)) = LOWER(TRIM(Dashboard!$A$6)), B137, "")
</f>
        <v/>
      </c>
      <c r="S137" s="87" t="str">
        <f>IF(LOWER(TRIM($Q137)) = LOWER(TRIM(Dashboard!$A$6)), C137, "")
</f>
        <v/>
      </c>
      <c r="T137" s="91" t="str">
        <f>IF(LOWER(TRIM(TEXT($Q137, "mmmm yyyy"))) = LOWER(TRIM(Dashboard!$A$6)), A137:A1000, "")
</f>
        <v/>
      </c>
    </row>
    <row r="138">
      <c r="B138" s="85"/>
      <c r="C138" s="85"/>
      <c r="E138" s="81" t="str">
        <f t="shared" si="1"/>
        <v/>
      </c>
      <c r="F138" s="84"/>
      <c r="G138" s="85"/>
      <c r="H138" s="85"/>
      <c r="L138" s="86"/>
      <c r="Q138" s="91"/>
      <c r="R138" s="87" t="str">
        <f>IF(LOWER(TRIM($Q138)) = LOWER(TRIM(Dashboard!$A$6)), B138, "")
</f>
        <v/>
      </c>
      <c r="S138" s="87" t="str">
        <f>IF(LOWER(TRIM($Q138)) = LOWER(TRIM(Dashboard!$A$6)), C138, "")
</f>
        <v/>
      </c>
      <c r="T138" s="91" t="str">
        <f>IF(LOWER(TRIM(TEXT($Q138, "mmmm yyyy"))) = LOWER(TRIM(Dashboard!$A$6)), A138:A1000, "")
</f>
        <v/>
      </c>
    </row>
    <row r="139">
      <c r="B139" s="85"/>
      <c r="C139" s="85"/>
      <c r="E139" s="81" t="str">
        <f t="shared" si="1"/>
        <v/>
      </c>
      <c r="F139" s="84"/>
      <c r="G139" s="85"/>
      <c r="H139" s="85"/>
      <c r="L139" s="86"/>
      <c r="Q139" s="91"/>
      <c r="R139" s="87" t="str">
        <f>IF(LOWER(TRIM($Q139)) = LOWER(TRIM(Dashboard!$A$6)), B139, "")
</f>
        <v/>
      </c>
      <c r="S139" s="87" t="str">
        <f>IF(LOWER(TRIM($Q139)) = LOWER(TRIM(Dashboard!$A$6)), C139, "")
</f>
        <v/>
      </c>
      <c r="T139" s="91" t="str">
        <f>IF(LOWER(TRIM(TEXT($Q139, "mmmm yyyy"))) = LOWER(TRIM(Dashboard!$A$6)), A139:A1000, "")
</f>
        <v/>
      </c>
    </row>
    <row r="140">
      <c r="B140" s="85"/>
      <c r="C140" s="85"/>
      <c r="E140" s="81" t="str">
        <f t="shared" si="1"/>
        <v/>
      </c>
      <c r="F140" s="84"/>
      <c r="G140" s="85"/>
      <c r="H140" s="85"/>
      <c r="L140" s="86"/>
      <c r="Q140" s="91"/>
      <c r="R140" s="87" t="str">
        <f>IF(LOWER(TRIM($Q140)) = LOWER(TRIM(Dashboard!$A$6)), B140, "")
</f>
        <v/>
      </c>
      <c r="S140" s="87" t="str">
        <f>IF(LOWER(TRIM($Q140)) = LOWER(TRIM(Dashboard!$A$6)), C140, "")
</f>
        <v/>
      </c>
      <c r="T140" s="91" t="str">
        <f>IF(LOWER(TRIM(TEXT($Q140, "mmmm yyyy"))) = LOWER(TRIM(Dashboard!$A$6)), A140:A1000, "")
</f>
        <v/>
      </c>
    </row>
    <row r="141">
      <c r="B141" s="85"/>
      <c r="C141" s="85"/>
      <c r="E141" s="81" t="str">
        <f t="shared" si="1"/>
        <v/>
      </c>
      <c r="F141" s="84"/>
      <c r="G141" s="85"/>
      <c r="H141" s="85"/>
      <c r="L141" s="86"/>
      <c r="Q141" s="91"/>
      <c r="R141" s="87" t="str">
        <f>IF(LOWER(TRIM($Q141)) = LOWER(TRIM(Dashboard!$A$6)), B141, "")
</f>
        <v/>
      </c>
      <c r="S141" s="87" t="str">
        <f>IF(LOWER(TRIM($Q141)) = LOWER(TRIM(Dashboard!$A$6)), C141, "")
</f>
        <v/>
      </c>
      <c r="T141" s="91" t="str">
        <f>IF(LOWER(TRIM(TEXT($Q141, "mmmm yyyy"))) = LOWER(TRIM(Dashboard!$A$6)), A141:A1000, "")
</f>
        <v/>
      </c>
    </row>
    <row r="142">
      <c r="B142" s="85"/>
      <c r="C142" s="85"/>
      <c r="E142" s="81" t="str">
        <f t="shared" si="1"/>
        <v/>
      </c>
      <c r="F142" s="84"/>
      <c r="G142" s="85"/>
      <c r="H142" s="85"/>
      <c r="L142" s="86"/>
      <c r="Q142" s="91"/>
      <c r="R142" s="87" t="str">
        <f>IF(LOWER(TRIM($Q142)) = LOWER(TRIM(Dashboard!$A$6)), B142, "")
</f>
        <v/>
      </c>
      <c r="S142" s="87" t="str">
        <f>IF(LOWER(TRIM($Q142)) = LOWER(TRIM(Dashboard!$A$6)), C142, "")
</f>
        <v/>
      </c>
      <c r="T142" s="91" t="str">
        <f>IF(LOWER(TRIM(TEXT($Q142, "mmmm yyyy"))) = LOWER(TRIM(Dashboard!$A$6)), A142:A1000, "")
</f>
        <v/>
      </c>
    </row>
    <row r="143">
      <c r="B143" s="85"/>
      <c r="C143" s="85"/>
      <c r="E143" s="81" t="str">
        <f t="shared" si="1"/>
        <v/>
      </c>
      <c r="F143" s="84"/>
      <c r="G143" s="85"/>
      <c r="H143" s="85"/>
      <c r="L143" s="86"/>
      <c r="Q143" s="91"/>
      <c r="R143" s="87" t="str">
        <f>IF(LOWER(TRIM($Q143)) = LOWER(TRIM(Dashboard!$A$6)), B143, "")
</f>
        <v/>
      </c>
      <c r="S143" s="87" t="str">
        <f>IF(LOWER(TRIM($Q143)) = LOWER(TRIM(Dashboard!$A$6)), C143, "")
</f>
        <v/>
      </c>
      <c r="T143" s="91" t="str">
        <f>IF(LOWER(TRIM(TEXT($Q143, "mmmm yyyy"))) = LOWER(TRIM(Dashboard!$A$6)), A143:A1000, "")
</f>
        <v/>
      </c>
    </row>
    <row r="144">
      <c r="B144" s="85"/>
      <c r="C144" s="85"/>
      <c r="E144" s="81" t="str">
        <f t="shared" si="1"/>
        <v/>
      </c>
      <c r="F144" s="84"/>
      <c r="G144" s="85"/>
      <c r="H144" s="85"/>
      <c r="L144" s="86"/>
      <c r="Q144" s="91"/>
      <c r="R144" s="87" t="str">
        <f>IF(LOWER(TRIM($Q144)) = LOWER(TRIM(Dashboard!$A$6)), B144, "")
</f>
        <v/>
      </c>
      <c r="S144" s="87" t="str">
        <f>IF(LOWER(TRIM($Q144)) = LOWER(TRIM(Dashboard!$A$6)), C144, "")
</f>
        <v/>
      </c>
      <c r="T144" s="91" t="str">
        <f>IF(LOWER(TRIM(TEXT($Q144, "mmmm yyyy"))) = LOWER(TRIM(Dashboard!$A$6)), A144:A1000, "")
</f>
        <v/>
      </c>
    </row>
    <row r="145">
      <c r="B145" s="85"/>
      <c r="C145" s="85"/>
      <c r="E145" s="81" t="str">
        <f t="shared" si="1"/>
        <v/>
      </c>
      <c r="F145" s="84"/>
      <c r="G145" s="85"/>
      <c r="H145" s="85"/>
      <c r="L145" s="86"/>
      <c r="Q145" s="91"/>
      <c r="R145" s="87" t="str">
        <f>IF(LOWER(TRIM($Q145)) = LOWER(TRIM(Dashboard!$A$6)), B145, "")
</f>
        <v/>
      </c>
      <c r="S145" s="87" t="str">
        <f>IF(LOWER(TRIM($Q145)) = LOWER(TRIM(Dashboard!$A$6)), C145, "")
</f>
        <v/>
      </c>
      <c r="T145" s="91" t="str">
        <f>IF(LOWER(TRIM(TEXT($Q145, "mmmm yyyy"))) = LOWER(TRIM(Dashboard!$A$6)), A145:A1000, "")
</f>
        <v/>
      </c>
    </row>
    <row r="146">
      <c r="B146" s="85"/>
      <c r="C146" s="85"/>
      <c r="E146" s="81" t="str">
        <f t="shared" si="1"/>
        <v/>
      </c>
      <c r="F146" s="84"/>
      <c r="G146" s="85"/>
      <c r="H146" s="85"/>
      <c r="L146" s="86"/>
      <c r="Q146" s="91"/>
      <c r="R146" s="87" t="str">
        <f>IF(LOWER(TRIM($Q146)) = LOWER(TRIM(Dashboard!$A$6)), B146, "")
</f>
        <v/>
      </c>
      <c r="S146" s="87" t="str">
        <f>IF(LOWER(TRIM($Q146)) = LOWER(TRIM(Dashboard!$A$6)), C146, "")
</f>
        <v/>
      </c>
      <c r="T146" s="91" t="str">
        <f>IF(LOWER(TRIM(TEXT($Q146, "mmmm yyyy"))) = LOWER(TRIM(Dashboard!$A$6)), A146:A1000, "")
</f>
        <v/>
      </c>
    </row>
    <row r="147">
      <c r="B147" s="85"/>
      <c r="C147" s="85"/>
      <c r="E147" s="81" t="str">
        <f t="shared" si="1"/>
        <v/>
      </c>
      <c r="F147" s="84"/>
      <c r="G147" s="85"/>
      <c r="H147" s="85"/>
      <c r="L147" s="86"/>
      <c r="Q147" s="91"/>
      <c r="R147" s="87" t="str">
        <f>IF(LOWER(TRIM($Q147)) = LOWER(TRIM(Dashboard!$A$6)), B147, "")
</f>
        <v/>
      </c>
      <c r="S147" s="87" t="str">
        <f>IF(LOWER(TRIM($Q147)) = LOWER(TRIM(Dashboard!$A$6)), C147, "")
</f>
        <v/>
      </c>
      <c r="T147" s="91" t="str">
        <f>IF(LOWER(TRIM(TEXT($Q147, "mmmm yyyy"))) = LOWER(TRIM(Dashboard!$A$6)), A147:A1000, "")
</f>
        <v/>
      </c>
    </row>
    <row r="148">
      <c r="B148" s="85"/>
      <c r="C148" s="85"/>
      <c r="E148" s="81" t="str">
        <f t="shared" si="1"/>
        <v/>
      </c>
      <c r="F148" s="84"/>
      <c r="G148" s="85"/>
      <c r="H148" s="85"/>
      <c r="L148" s="86"/>
      <c r="Q148" s="91"/>
      <c r="R148" s="87" t="str">
        <f>IF(LOWER(TRIM($Q148)) = LOWER(TRIM(Dashboard!$A$6)), B148, "")
</f>
        <v/>
      </c>
      <c r="S148" s="87" t="str">
        <f>IF(LOWER(TRIM($Q148)) = LOWER(TRIM(Dashboard!$A$6)), C148, "")
</f>
        <v/>
      </c>
      <c r="T148" s="91" t="str">
        <f>IF(LOWER(TRIM(TEXT($Q148, "mmmm yyyy"))) = LOWER(TRIM(Dashboard!$A$6)), A148:A1000, "")
</f>
        <v/>
      </c>
    </row>
    <row r="149">
      <c r="B149" s="85"/>
      <c r="C149" s="85"/>
      <c r="E149" s="81" t="str">
        <f t="shared" si="1"/>
        <v/>
      </c>
      <c r="F149" s="84"/>
      <c r="G149" s="85"/>
      <c r="H149" s="85"/>
      <c r="L149" s="86"/>
      <c r="Q149" s="91"/>
      <c r="R149" s="87" t="str">
        <f>IF(LOWER(TRIM($Q149)) = LOWER(TRIM(Dashboard!$A$6)), B149, "")
</f>
        <v/>
      </c>
      <c r="S149" s="87" t="str">
        <f>IF(LOWER(TRIM($Q149)) = LOWER(TRIM(Dashboard!$A$6)), C149, "")
</f>
        <v/>
      </c>
      <c r="T149" s="91" t="str">
        <f>IF(LOWER(TRIM(TEXT($Q149, "mmmm yyyy"))) = LOWER(TRIM(Dashboard!$A$6)), A149:A1000, "")
</f>
        <v/>
      </c>
    </row>
    <row r="150">
      <c r="B150" s="85"/>
      <c r="C150" s="85"/>
      <c r="E150" s="81" t="str">
        <f t="shared" si="1"/>
        <v/>
      </c>
      <c r="F150" s="84"/>
      <c r="G150" s="85"/>
      <c r="H150" s="85"/>
      <c r="L150" s="86"/>
      <c r="Q150" s="91"/>
      <c r="R150" s="87" t="str">
        <f>IF(LOWER(TRIM($Q150)) = LOWER(TRIM(Dashboard!$A$6)), B150, "")
</f>
        <v/>
      </c>
      <c r="S150" s="87" t="str">
        <f>IF(LOWER(TRIM($Q150)) = LOWER(TRIM(Dashboard!$A$6)), C150, "")
</f>
        <v/>
      </c>
      <c r="T150" s="91" t="str">
        <f>IF(LOWER(TRIM(TEXT($Q150, "mmmm yyyy"))) = LOWER(TRIM(Dashboard!$A$6)), A150:A1000, "")
</f>
        <v/>
      </c>
    </row>
    <row r="151">
      <c r="B151" s="85"/>
      <c r="C151" s="85"/>
      <c r="E151" s="81" t="str">
        <f t="shared" si="1"/>
        <v/>
      </c>
      <c r="F151" s="84"/>
      <c r="G151" s="85"/>
      <c r="H151" s="85"/>
      <c r="L151" s="86"/>
      <c r="Q151" s="91"/>
      <c r="R151" s="87" t="str">
        <f>IF(LOWER(TRIM($Q151)) = LOWER(TRIM(Dashboard!$A$6)), B151, "")
</f>
        <v/>
      </c>
      <c r="S151" s="87" t="str">
        <f>IF(LOWER(TRIM($Q151)) = LOWER(TRIM(Dashboard!$A$6)), C151, "")
</f>
        <v/>
      </c>
      <c r="T151" s="91" t="str">
        <f>IF(LOWER(TRIM(TEXT($Q151, "mmmm yyyy"))) = LOWER(TRIM(Dashboard!$A$6)), A151:A1000, "")
</f>
        <v/>
      </c>
    </row>
    <row r="152">
      <c r="B152" s="85"/>
      <c r="C152" s="85"/>
      <c r="E152" s="81" t="str">
        <f t="shared" si="1"/>
        <v/>
      </c>
      <c r="F152" s="84"/>
      <c r="G152" s="85"/>
      <c r="H152" s="85"/>
      <c r="L152" s="86"/>
      <c r="Q152" s="91"/>
      <c r="R152" s="87" t="str">
        <f>IF(LOWER(TRIM($Q152)) = LOWER(TRIM(Dashboard!$A$6)), B152, "")
</f>
        <v/>
      </c>
      <c r="S152" s="87" t="str">
        <f>IF(LOWER(TRIM($Q152)) = LOWER(TRIM(Dashboard!$A$6)), C152, "")
</f>
        <v/>
      </c>
      <c r="T152" s="91" t="str">
        <f>IF(LOWER(TRIM(TEXT($Q152, "mmmm yyyy"))) = LOWER(TRIM(Dashboard!$A$6)), A152:A1000, "")
</f>
        <v/>
      </c>
    </row>
    <row r="153">
      <c r="B153" s="85"/>
      <c r="C153" s="85"/>
      <c r="E153" s="81" t="str">
        <f t="shared" si="1"/>
        <v/>
      </c>
      <c r="F153" s="84"/>
      <c r="G153" s="85"/>
      <c r="H153" s="85"/>
      <c r="L153" s="86"/>
      <c r="Q153" s="91"/>
      <c r="R153" s="87" t="str">
        <f>IF(LOWER(TRIM($Q153)) = LOWER(TRIM(Dashboard!$A$6)), B153, "")
</f>
        <v/>
      </c>
      <c r="S153" s="87" t="str">
        <f>IF(LOWER(TRIM($Q153)) = LOWER(TRIM(Dashboard!$A$6)), C153, "")
</f>
        <v/>
      </c>
      <c r="T153" s="91" t="str">
        <f>IF(LOWER(TRIM(TEXT($Q153, "mmmm yyyy"))) = LOWER(TRIM(Dashboard!$A$6)), A153:A1000, "")
</f>
        <v/>
      </c>
    </row>
    <row r="154">
      <c r="B154" s="85"/>
      <c r="C154" s="85"/>
      <c r="E154" s="81" t="str">
        <f t="shared" si="1"/>
        <v/>
      </c>
      <c r="F154" s="84"/>
      <c r="G154" s="85"/>
      <c r="H154" s="85"/>
      <c r="L154" s="86"/>
      <c r="Q154" s="91"/>
      <c r="R154" s="87" t="str">
        <f>IF(LOWER(TRIM($Q154)) = LOWER(TRIM(Dashboard!$A$6)), B154, "")
</f>
        <v/>
      </c>
      <c r="S154" s="87" t="str">
        <f>IF(LOWER(TRIM($Q154)) = LOWER(TRIM(Dashboard!$A$6)), C154, "")
</f>
        <v/>
      </c>
      <c r="T154" s="91" t="str">
        <f>IF(LOWER(TRIM(TEXT($Q154, "mmmm yyyy"))) = LOWER(TRIM(Dashboard!$A$6)), A154:A1000, "")
</f>
        <v/>
      </c>
    </row>
    <row r="155">
      <c r="B155" s="85"/>
      <c r="C155" s="85"/>
      <c r="E155" s="81" t="str">
        <f t="shared" si="1"/>
        <v/>
      </c>
      <c r="F155" s="84"/>
      <c r="G155" s="85"/>
      <c r="H155" s="85"/>
      <c r="L155" s="86"/>
      <c r="Q155" s="91"/>
      <c r="R155" s="87" t="str">
        <f>IF(LOWER(TRIM($Q155)) = LOWER(TRIM(Dashboard!$A$6)), B155, "")
</f>
        <v/>
      </c>
      <c r="S155" s="87" t="str">
        <f>IF(LOWER(TRIM($Q155)) = LOWER(TRIM(Dashboard!$A$6)), C155, "")
</f>
        <v/>
      </c>
      <c r="T155" s="91" t="str">
        <f>IF(LOWER(TRIM(TEXT($Q155, "mmmm yyyy"))) = LOWER(TRIM(Dashboard!$A$6)), A155:A1000, "")
</f>
        <v/>
      </c>
    </row>
    <row r="156">
      <c r="B156" s="85"/>
      <c r="C156" s="85"/>
      <c r="E156" s="81" t="str">
        <f t="shared" si="1"/>
        <v/>
      </c>
      <c r="F156" s="84"/>
      <c r="G156" s="85"/>
      <c r="H156" s="85"/>
      <c r="L156" s="86"/>
      <c r="Q156" s="91"/>
      <c r="R156" s="87" t="str">
        <f>IF(LOWER(TRIM($Q156)) = LOWER(TRIM(Dashboard!$A$6)), B156, "")
</f>
        <v/>
      </c>
      <c r="S156" s="87" t="str">
        <f>IF(LOWER(TRIM($Q156)) = LOWER(TRIM(Dashboard!$A$6)), C156, "")
</f>
        <v/>
      </c>
      <c r="T156" s="91" t="str">
        <f>IF(LOWER(TRIM(TEXT($Q156, "mmmm yyyy"))) = LOWER(TRIM(Dashboard!$A$6)), A156:A1000, "")
</f>
        <v/>
      </c>
    </row>
    <row r="157">
      <c r="B157" s="85"/>
      <c r="C157" s="85"/>
      <c r="E157" s="81" t="str">
        <f t="shared" si="1"/>
        <v/>
      </c>
      <c r="F157" s="84"/>
      <c r="G157" s="85"/>
      <c r="H157" s="85"/>
      <c r="L157" s="86"/>
      <c r="Q157" s="91"/>
      <c r="R157" s="87" t="str">
        <f>IF(LOWER(TRIM($Q157)) = LOWER(TRIM(Dashboard!$A$6)), B157, "")
</f>
        <v/>
      </c>
      <c r="S157" s="87" t="str">
        <f>IF(LOWER(TRIM($Q157)) = LOWER(TRIM(Dashboard!$A$6)), C157, "")
</f>
        <v/>
      </c>
      <c r="T157" s="91" t="str">
        <f>IF(LOWER(TRIM(TEXT($Q157, "mmmm yyyy"))) = LOWER(TRIM(Dashboard!$A$6)), A157:A1000, "")
</f>
        <v/>
      </c>
    </row>
    <row r="158">
      <c r="B158" s="85"/>
      <c r="C158" s="85"/>
      <c r="E158" s="81" t="str">
        <f t="shared" si="1"/>
        <v/>
      </c>
      <c r="F158" s="84"/>
      <c r="G158" s="85"/>
      <c r="H158" s="85"/>
      <c r="L158" s="86"/>
      <c r="Q158" s="91"/>
      <c r="R158" s="87" t="str">
        <f>IF(LOWER(TRIM($Q158)) = LOWER(TRIM(Dashboard!$A$6)), B158, "")
</f>
        <v/>
      </c>
      <c r="S158" s="87" t="str">
        <f>IF(LOWER(TRIM($Q158)) = LOWER(TRIM(Dashboard!$A$6)), C158, "")
</f>
        <v/>
      </c>
      <c r="T158" s="91" t="str">
        <f>IF(LOWER(TRIM(TEXT($Q158, "mmmm yyyy"))) = LOWER(TRIM(Dashboard!$A$6)), A158:A1000, "")
</f>
        <v/>
      </c>
    </row>
    <row r="159">
      <c r="B159" s="85"/>
      <c r="C159" s="85"/>
      <c r="E159" s="81" t="str">
        <f t="shared" si="1"/>
        <v/>
      </c>
      <c r="F159" s="84"/>
      <c r="G159" s="85"/>
      <c r="H159" s="85"/>
      <c r="L159" s="86"/>
      <c r="Q159" s="91"/>
      <c r="R159" s="87" t="str">
        <f>IF(LOWER(TRIM($Q159)) = LOWER(TRIM(Dashboard!$A$6)), B159, "")
</f>
        <v/>
      </c>
      <c r="S159" s="87" t="str">
        <f>IF(LOWER(TRIM($Q159)) = LOWER(TRIM(Dashboard!$A$6)), C159, "")
</f>
        <v/>
      </c>
      <c r="T159" s="91" t="str">
        <f>IF(LOWER(TRIM(TEXT($Q159, "mmmm yyyy"))) = LOWER(TRIM(Dashboard!$A$6)), A159:A1000, "")
</f>
        <v/>
      </c>
    </row>
    <row r="160">
      <c r="B160" s="85"/>
      <c r="C160" s="85"/>
      <c r="E160" s="81" t="str">
        <f t="shared" si="1"/>
        <v/>
      </c>
      <c r="F160" s="84"/>
      <c r="G160" s="85"/>
      <c r="H160" s="85"/>
      <c r="L160" s="86"/>
      <c r="Q160" s="91"/>
      <c r="R160" s="87" t="str">
        <f>IF(LOWER(TRIM($Q160)) = LOWER(TRIM(Dashboard!$A$6)), B160, "")
</f>
        <v/>
      </c>
      <c r="S160" s="87" t="str">
        <f>IF(LOWER(TRIM($Q160)) = LOWER(TRIM(Dashboard!$A$6)), C160, "")
</f>
        <v/>
      </c>
      <c r="T160" s="91" t="str">
        <f>IF(LOWER(TRIM(TEXT($Q160, "mmmm yyyy"))) = LOWER(TRIM(Dashboard!$A$6)), A160:A1000, "")
</f>
        <v/>
      </c>
    </row>
    <row r="161">
      <c r="B161" s="85"/>
      <c r="C161" s="85"/>
      <c r="E161" s="81" t="str">
        <f t="shared" si="1"/>
        <v/>
      </c>
      <c r="F161" s="84"/>
      <c r="G161" s="85"/>
      <c r="H161" s="85"/>
      <c r="L161" s="86"/>
      <c r="Q161" s="91"/>
      <c r="R161" s="87" t="str">
        <f>IF(LOWER(TRIM($Q161)) = LOWER(TRIM(Dashboard!$A$6)), B161, "")
</f>
        <v/>
      </c>
      <c r="S161" s="87" t="str">
        <f>IF(LOWER(TRIM($Q161)) = LOWER(TRIM(Dashboard!$A$6)), C161, "")
</f>
        <v/>
      </c>
      <c r="T161" s="91" t="str">
        <f>IF(LOWER(TRIM(TEXT($Q161, "mmmm yyyy"))) = LOWER(TRIM(Dashboard!$A$6)), A161:A1000, "")
</f>
        <v/>
      </c>
    </row>
    <row r="162">
      <c r="B162" s="85"/>
      <c r="C162" s="85"/>
      <c r="E162" s="81" t="str">
        <f t="shared" si="1"/>
        <v/>
      </c>
      <c r="F162" s="84"/>
      <c r="G162" s="85"/>
      <c r="H162" s="85"/>
      <c r="L162" s="86"/>
      <c r="Q162" s="91"/>
      <c r="R162" s="87" t="str">
        <f>IF(LOWER(TRIM($Q162)) = LOWER(TRIM(Dashboard!$A$6)), B162, "")
</f>
        <v/>
      </c>
      <c r="S162" s="87" t="str">
        <f>IF(LOWER(TRIM($Q162)) = LOWER(TRIM(Dashboard!$A$6)), C162, "")
</f>
        <v/>
      </c>
      <c r="T162" s="91" t="str">
        <f>IF(LOWER(TRIM(TEXT($Q162, "mmmm yyyy"))) = LOWER(TRIM(Dashboard!$A$6)), A162:A1000, "")
</f>
        <v/>
      </c>
    </row>
    <row r="163">
      <c r="B163" s="85"/>
      <c r="C163" s="85"/>
      <c r="E163" s="81" t="str">
        <f t="shared" si="1"/>
        <v/>
      </c>
      <c r="F163" s="84"/>
      <c r="G163" s="85"/>
      <c r="H163" s="85"/>
      <c r="L163" s="86"/>
      <c r="Q163" s="91"/>
      <c r="R163" s="87" t="str">
        <f>IF(LOWER(TRIM($Q163)) = LOWER(TRIM(Dashboard!$A$6)), B163, "")
</f>
        <v/>
      </c>
      <c r="S163" s="87" t="str">
        <f>IF(LOWER(TRIM($Q163)) = LOWER(TRIM(Dashboard!$A$6)), C163, "")
</f>
        <v/>
      </c>
      <c r="T163" s="91" t="str">
        <f>IF(LOWER(TRIM(TEXT($Q163, "mmmm yyyy"))) = LOWER(TRIM(Dashboard!$A$6)), A163:A1000, "")
</f>
        <v/>
      </c>
    </row>
    <row r="164">
      <c r="B164" s="85"/>
      <c r="C164" s="85"/>
      <c r="E164" s="81" t="str">
        <f t="shared" si="1"/>
        <v/>
      </c>
      <c r="F164" s="84"/>
      <c r="G164" s="85"/>
      <c r="H164" s="85"/>
      <c r="L164" s="86"/>
      <c r="Q164" s="91"/>
      <c r="R164" s="87" t="str">
        <f>IF(LOWER(TRIM($Q164)) = LOWER(TRIM(Dashboard!$A$6)), B164, "")
</f>
        <v/>
      </c>
      <c r="S164" s="87" t="str">
        <f>IF(LOWER(TRIM($Q164)) = LOWER(TRIM(Dashboard!$A$6)), C164, "")
</f>
        <v/>
      </c>
      <c r="T164" s="91" t="str">
        <f>IF(LOWER(TRIM(TEXT($Q164, "mmmm yyyy"))) = LOWER(TRIM(Dashboard!$A$6)), A164:A1000, "")
</f>
        <v/>
      </c>
    </row>
    <row r="165">
      <c r="B165" s="85"/>
      <c r="C165" s="85"/>
      <c r="E165" s="81" t="str">
        <f t="shared" si="1"/>
        <v/>
      </c>
      <c r="F165" s="84"/>
      <c r="G165" s="85"/>
      <c r="H165" s="85"/>
      <c r="L165" s="86"/>
      <c r="Q165" s="91"/>
      <c r="R165" s="87" t="str">
        <f>IF(LOWER(TRIM($Q165)) = LOWER(TRIM(Dashboard!$A$6)), B165, "")
</f>
        <v/>
      </c>
      <c r="S165" s="87" t="str">
        <f>IF(LOWER(TRIM($Q165)) = LOWER(TRIM(Dashboard!$A$6)), C165, "")
</f>
        <v/>
      </c>
      <c r="T165" s="91" t="str">
        <f>IF(LOWER(TRIM(TEXT($Q165, "mmmm yyyy"))) = LOWER(TRIM(Dashboard!$A$6)), A165:A1000, "")
</f>
        <v/>
      </c>
    </row>
    <row r="166">
      <c r="B166" s="85"/>
      <c r="C166" s="85"/>
      <c r="E166" s="81" t="str">
        <f t="shared" si="1"/>
        <v/>
      </c>
      <c r="F166" s="84"/>
      <c r="G166" s="85"/>
      <c r="H166" s="85"/>
      <c r="L166" s="86"/>
      <c r="Q166" s="91"/>
      <c r="R166" s="87" t="str">
        <f>IF(LOWER(TRIM($Q166)) = LOWER(TRIM(Dashboard!$A$6)), B166, "")
</f>
        <v/>
      </c>
      <c r="S166" s="87" t="str">
        <f>IF(LOWER(TRIM($Q166)) = LOWER(TRIM(Dashboard!$A$6)), C166, "")
</f>
        <v/>
      </c>
      <c r="T166" s="91" t="str">
        <f>IF(LOWER(TRIM(TEXT($Q166, "mmmm yyyy"))) = LOWER(TRIM(Dashboard!$A$6)), A166:A1000, "")
</f>
        <v/>
      </c>
    </row>
    <row r="167">
      <c r="B167" s="85"/>
      <c r="C167" s="85"/>
      <c r="E167" s="81" t="str">
        <f t="shared" si="1"/>
        <v/>
      </c>
      <c r="F167" s="84"/>
      <c r="G167" s="85"/>
      <c r="H167" s="85"/>
      <c r="L167" s="86"/>
      <c r="Q167" s="91"/>
      <c r="R167" s="87" t="str">
        <f>IF(LOWER(TRIM($Q167)) = LOWER(TRIM(Dashboard!$A$6)), B167, "")
</f>
        <v/>
      </c>
      <c r="S167" s="87" t="str">
        <f>IF(LOWER(TRIM($Q167)) = LOWER(TRIM(Dashboard!$A$6)), C167, "")
</f>
        <v/>
      </c>
      <c r="T167" s="91" t="str">
        <f>IF(LOWER(TRIM(TEXT($Q167, "mmmm yyyy"))) = LOWER(TRIM(Dashboard!$A$6)), A167:A1000, "")
</f>
        <v/>
      </c>
    </row>
    <row r="168">
      <c r="B168" s="85"/>
      <c r="C168" s="85"/>
      <c r="E168" s="81" t="str">
        <f t="shared" si="1"/>
        <v/>
      </c>
      <c r="F168" s="84"/>
      <c r="G168" s="85"/>
      <c r="H168" s="85"/>
      <c r="L168" s="86"/>
      <c r="Q168" s="91"/>
      <c r="R168" s="87" t="str">
        <f>IF(LOWER(TRIM($Q168)) = LOWER(TRIM(Dashboard!$A$6)), B168, "")
</f>
        <v/>
      </c>
      <c r="S168" s="87" t="str">
        <f>IF(LOWER(TRIM($Q168)) = LOWER(TRIM(Dashboard!$A$6)), C168, "")
</f>
        <v/>
      </c>
      <c r="T168" s="91" t="str">
        <f>IF(LOWER(TRIM(TEXT($Q168, "mmmm yyyy"))) = LOWER(TRIM(Dashboard!$A$6)), A168:A1000, "")
</f>
        <v/>
      </c>
    </row>
    <row r="169">
      <c r="B169" s="85"/>
      <c r="C169" s="85"/>
      <c r="E169" s="81" t="str">
        <f t="shared" si="1"/>
        <v/>
      </c>
      <c r="F169" s="84"/>
      <c r="G169" s="85"/>
      <c r="H169" s="85"/>
      <c r="L169" s="86"/>
      <c r="Q169" s="91"/>
      <c r="R169" s="87" t="str">
        <f>IF(LOWER(TRIM($Q169)) = LOWER(TRIM(Dashboard!$A$6)), B169, "")
</f>
        <v/>
      </c>
      <c r="S169" s="87" t="str">
        <f>IF(LOWER(TRIM($Q169)) = LOWER(TRIM(Dashboard!$A$6)), C169, "")
</f>
        <v/>
      </c>
      <c r="T169" s="91" t="str">
        <f>IF(LOWER(TRIM(TEXT($Q169, "mmmm yyyy"))) = LOWER(TRIM(Dashboard!$A$6)), A169:A1000, "")
</f>
        <v/>
      </c>
    </row>
    <row r="170">
      <c r="B170" s="85"/>
      <c r="C170" s="85"/>
      <c r="E170" s="81" t="str">
        <f t="shared" si="1"/>
        <v/>
      </c>
      <c r="F170" s="84"/>
      <c r="G170" s="85"/>
      <c r="H170" s="85"/>
      <c r="L170" s="86"/>
      <c r="Q170" s="91"/>
      <c r="R170" s="87" t="str">
        <f>IF(LOWER(TRIM($Q170)) = LOWER(TRIM(Dashboard!$A$6)), B170, "")
</f>
        <v/>
      </c>
      <c r="S170" s="87" t="str">
        <f>IF(LOWER(TRIM($Q170)) = LOWER(TRIM(Dashboard!$A$6)), C170, "")
</f>
        <v/>
      </c>
      <c r="T170" s="91" t="str">
        <f>IF(LOWER(TRIM(TEXT($Q170, "mmmm yyyy"))) = LOWER(TRIM(Dashboard!$A$6)), A170:A1000, "")
</f>
        <v/>
      </c>
    </row>
    <row r="171">
      <c r="B171" s="85"/>
      <c r="C171" s="85"/>
      <c r="E171" s="81" t="str">
        <f t="shared" si="1"/>
        <v/>
      </c>
      <c r="F171" s="84"/>
      <c r="G171" s="85"/>
      <c r="H171" s="85"/>
      <c r="L171" s="86"/>
      <c r="Q171" s="91"/>
      <c r="R171" s="87" t="str">
        <f>IF(LOWER(TRIM($Q171)) = LOWER(TRIM(Dashboard!$A$6)), B171, "")
</f>
        <v/>
      </c>
      <c r="S171" s="87" t="str">
        <f>IF(LOWER(TRIM($Q171)) = LOWER(TRIM(Dashboard!$A$6)), C171, "")
</f>
        <v/>
      </c>
      <c r="T171" s="91" t="str">
        <f>IF(LOWER(TRIM(TEXT($Q171, "mmmm yyyy"))) = LOWER(TRIM(Dashboard!$A$6)), A171:A1000, "")
</f>
        <v/>
      </c>
    </row>
    <row r="172">
      <c r="B172" s="85"/>
      <c r="C172" s="85"/>
      <c r="E172" s="81" t="str">
        <f t="shared" si="1"/>
        <v/>
      </c>
      <c r="F172" s="84"/>
      <c r="G172" s="85"/>
      <c r="H172" s="85"/>
      <c r="L172" s="86"/>
      <c r="Q172" s="91"/>
      <c r="R172" s="87" t="str">
        <f>IF(LOWER(TRIM($Q172)) = LOWER(TRIM(Dashboard!$A$6)), B172, "")
</f>
        <v/>
      </c>
      <c r="S172" s="87" t="str">
        <f>IF(LOWER(TRIM($Q172)) = LOWER(TRIM(Dashboard!$A$6)), C172, "")
</f>
        <v/>
      </c>
      <c r="T172" s="91" t="str">
        <f>IF(LOWER(TRIM(TEXT($Q172, "mmmm yyyy"))) = LOWER(TRIM(Dashboard!$A$6)), A172:A1000, "")
</f>
        <v/>
      </c>
    </row>
    <row r="173">
      <c r="B173" s="85"/>
      <c r="C173" s="85"/>
      <c r="E173" s="81" t="str">
        <f t="shared" si="1"/>
        <v/>
      </c>
      <c r="F173" s="84"/>
      <c r="G173" s="85"/>
      <c r="H173" s="85"/>
      <c r="L173" s="86"/>
      <c r="Q173" s="91"/>
      <c r="R173" s="87" t="str">
        <f>IF(LOWER(TRIM($Q173)) = LOWER(TRIM(Dashboard!$A$6)), B173, "")
</f>
        <v/>
      </c>
      <c r="S173" s="87" t="str">
        <f>IF(LOWER(TRIM($Q173)) = LOWER(TRIM(Dashboard!$A$6)), C173, "")
</f>
        <v/>
      </c>
      <c r="T173" s="91" t="str">
        <f>IF(LOWER(TRIM(TEXT($Q173, "mmmm yyyy"))) = LOWER(TRIM(Dashboard!$A$6)), A173:A1000, "")
</f>
        <v/>
      </c>
    </row>
    <row r="174">
      <c r="B174" s="85"/>
      <c r="C174" s="85"/>
      <c r="E174" s="81" t="str">
        <f t="shared" si="1"/>
        <v/>
      </c>
      <c r="F174" s="84"/>
      <c r="G174" s="85"/>
      <c r="H174" s="85"/>
      <c r="L174" s="86"/>
      <c r="Q174" s="91"/>
      <c r="R174" s="87" t="str">
        <f>IF(LOWER(TRIM($Q174)) = LOWER(TRIM(Dashboard!$A$6)), B174, "")
</f>
        <v/>
      </c>
      <c r="S174" s="87" t="str">
        <f>IF(LOWER(TRIM($Q174)) = LOWER(TRIM(Dashboard!$A$6)), C174, "")
</f>
        <v/>
      </c>
      <c r="T174" s="91" t="str">
        <f>IF(LOWER(TRIM(TEXT($Q174, "mmmm yyyy"))) = LOWER(TRIM(Dashboard!$A$6)), A174:A1000, "")
</f>
        <v/>
      </c>
    </row>
    <row r="175">
      <c r="B175" s="85"/>
      <c r="C175" s="85"/>
      <c r="E175" s="81" t="str">
        <f t="shared" si="1"/>
        <v/>
      </c>
      <c r="F175" s="84"/>
      <c r="G175" s="85"/>
      <c r="H175" s="85"/>
      <c r="L175" s="86"/>
      <c r="Q175" s="91"/>
      <c r="R175" s="87" t="str">
        <f>IF(LOWER(TRIM($Q175)) = LOWER(TRIM(Dashboard!$A$6)), B175, "")
</f>
        <v/>
      </c>
      <c r="S175" s="87" t="str">
        <f>IF(LOWER(TRIM($Q175)) = LOWER(TRIM(Dashboard!$A$6)), C175, "")
</f>
        <v/>
      </c>
      <c r="T175" s="91" t="str">
        <f>IF(LOWER(TRIM(TEXT($Q175, "mmmm yyyy"))) = LOWER(TRIM(Dashboard!$A$6)), A175:A1000, "")
</f>
        <v/>
      </c>
    </row>
    <row r="176">
      <c r="B176" s="85"/>
      <c r="C176" s="85"/>
      <c r="E176" s="81" t="str">
        <f t="shared" si="1"/>
        <v/>
      </c>
      <c r="F176" s="84"/>
      <c r="G176" s="85"/>
      <c r="H176" s="85"/>
      <c r="L176" s="86"/>
      <c r="Q176" s="91"/>
      <c r="R176" s="87" t="str">
        <f>IF(LOWER(TRIM($Q176)) = LOWER(TRIM(Dashboard!$A$6)), B176, "")
</f>
        <v/>
      </c>
      <c r="S176" s="87" t="str">
        <f>IF(LOWER(TRIM($Q176)) = LOWER(TRIM(Dashboard!$A$6)), C176, "")
</f>
        <v/>
      </c>
      <c r="T176" s="91" t="str">
        <f>IF(LOWER(TRIM(TEXT($Q176, "mmmm yyyy"))) = LOWER(TRIM(Dashboard!$A$6)), A176:A1000, "")
</f>
        <v/>
      </c>
    </row>
    <row r="177">
      <c r="B177" s="85"/>
      <c r="C177" s="85"/>
      <c r="E177" s="81" t="str">
        <f t="shared" si="1"/>
        <v/>
      </c>
      <c r="F177" s="84"/>
      <c r="G177" s="85"/>
      <c r="H177" s="85"/>
      <c r="L177" s="86"/>
      <c r="Q177" s="91"/>
      <c r="R177" s="87" t="str">
        <f>IF(LOWER(TRIM($Q177)) = LOWER(TRIM(Dashboard!$A$6)), B177, "")
</f>
        <v/>
      </c>
      <c r="S177" s="87" t="str">
        <f>IF(LOWER(TRIM($Q177)) = LOWER(TRIM(Dashboard!$A$6)), C177, "")
</f>
        <v/>
      </c>
      <c r="T177" s="91" t="str">
        <f>IF(LOWER(TRIM(TEXT($Q177, "mmmm yyyy"))) = LOWER(TRIM(Dashboard!$A$6)), A177:A1000, "")
</f>
        <v/>
      </c>
    </row>
    <row r="178">
      <c r="B178" s="85"/>
      <c r="C178" s="85"/>
      <c r="E178" s="81" t="str">
        <f t="shared" si="1"/>
        <v/>
      </c>
      <c r="F178" s="84"/>
      <c r="G178" s="85"/>
      <c r="H178" s="85"/>
      <c r="L178" s="86"/>
      <c r="Q178" s="91"/>
      <c r="R178" s="87" t="str">
        <f>IF(LOWER(TRIM($Q178)) = LOWER(TRIM(Dashboard!$A$6)), B178, "")
</f>
        <v/>
      </c>
      <c r="S178" s="87" t="str">
        <f>IF(LOWER(TRIM($Q178)) = LOWER(TRIM(Dashboard!$A$6)), C178, "")
</f>
        <v/>
      </c>
      <c r="T178" s="91" t="str">
        <f>IF(LOWER(TRIM(TEXT($Q178, "mmmm yyyy"))) = LOWER(TRIM(Dashboard!$A$6)), A178:A1000, "")
</f>
        <v/>
      </c>
    </row>
    <row r="179">
      <c r="B179" s="85"/>
      <c r="C179" s="85"/>
      <c r="E179" s="81" t="str">
        <f t="shared" si="1"/>
        <v/>
      </c>
      <c r="F179" s="84"/>
      <c r="G179" s="85"/>
      <c r="H179" s="85"/>
      <c r="L179" s="86"/>
      <c r="Q179" s="91"/>
      <c r="R179" s="87" t="str">
        <f>IF(LOWER(TRIM($Q179)) = LOWER(TRIM(Dashboard!$A$6)), B179, "")
</f>
        <v/>
      </c>
      <c r="S179" s="87" t="str">
        <f>IF(LOWER(TRIM($Q179)) = LOWER(TRIM(Dashboard!$A$6)), C179, "")
</f>
        <v/>
      </c>
      <c r="T179" s="91" t="str">
        <f>IF(LOWER(TRIM(TEXT($Q179, "mmmm yyyy"))) = LOWER(TRIM(Dashboard!$A$6)), A179:A1000, "")
</f>
        <v/>
      </c>
    </row>
    <row r="180">
      <c r="B180" s="85"/>
      <c r="C180" s="85"/>
      <c r="E180" s="81" t="str">
        <f t="shared" si="1"/>
        <v/>
      </c>
      <c r="F180" s="84"/>
      <c r="G180" s="85"/>
      <c r="H180" s="85"/>
      <c r="L180" s="86"/>
      <c r="Q180" s="91"/>
      <c r="R180" s="87" t="str">
        <f>IF(LOWER(TRIM($Q180)) = LOWER(TRIM(Dashboard!$A$6)), B180, "")
</f>
        <v/>
      </c>
      <c r="S180" s="87" t="str">
        <f>IF(LOWER(TRIM($Q180)) = LOWER(TRIM(Dashboard!$A$6)), C180, "")
</f>
        <v/>
      </c>
      <c r="T180" s="91" t="str">
        <f>IF(LOWER(TRIM(TEXT($Q180, "mmmm yyyy"))) = LOWER(TRIM(Dashboard!$A$6)), A180:A1000, "")
</f>
        <v/>
      </c>
    </row>
    <row r="181">
      <c r="B181" s="85"/>
      <c r="C181" s="85"/>
      <c r="E181" s="81" t="str">
        <f t="shared" si="1"/>
        <v/>
      </c>
      <c r="F181" s="84"/>
      <c r="G181" s="85"/>
      <c r="H181" s="85"/>
      <c r="L181" s="86"/>
      <c r="Q181" s="91"/>
      <c r="R181" s="87" t="str">
        <f>IF(LOWER(TRIM($Q181)) = LOWER(TRIM(Dashboard!$A$6)), B181, "")
</f>
        <v/>
      </c>
      <c r="S181" s="87" t="str">
        <f>IF(LOWER(TRIM($Q181)) = LOWER(TRIM(Dashboard!$A$6)), C181, "")
</f>
        <v/>
      </c>
      <c r="T181" s="91" t="str">
        <f>IF(LOWER(TRIM(TEXT($Q181, "mmmm yyyy"))) = LOWER(TRIM(Dashboard!$A$6)), A181:A1000, "")
</f>
        <v/>
      </c>
    </row>
    <row r="182">
      <c r="B182" s="85"/>
      <c r="C182" s="85"/>
      <c r="E182" s="81" t="str">
        <f t="shared" si="1"/>
        <v/>
      </c>
      <c r="F182" s="84"/>
      <c r="G182" s="85"/>
      <c r="H182" s="85"/>
      <c r="L182" s="86"/>
      <c r="Q182" s="91"/>
      <c r="R182" s="87" t="str">
        <f>IF(LOWER(TRIM($Q182)) = LOWER(TRIM(Dashboard!$A$6)), B182, "")
</f>
        <v/>
      </c>
      <c r="S182" s="87" t="str">
        <f>IF(LOWER(TRIM($Q182)) = LOWER(TRIM(Dashboard!$A$6)), C182, "")
</f>
        <v/>
      </c>
      <c r="T182" s="91" t="str">
        <f>IF(LOWER(TRIM(TEXT($Q182, "mmmm yyyy"))) = LOWER(TRIM(Dashboard!$A$6)), A182:A1000, "")
</f>
        <v/>
      </c>
    </row>
    <row r="183">
      <c r="B183" s="85"/>
      <c r="C183" s="85"/>
      <c r="E183" s="81" t="str">
        <f t="shared" si="1"/>
        <v/>
      </c>
      <c r="F183" s="84"/>
      <c r="G183" s="85"/>
      <c r="H183" s="85"/>
      <c r="L183" s="86"/>
      <c r="Q183" s="91"/>
      <c r="R183" s="87" t="str">
        <f>IF(LOWER(TRIM($Q183)) = LOWER(TRIM(Dashboard!$A$6)), B183, "")
</f>
        <v/>
      </c>
      <c r="S183" s="87" t="str">
        <f>IF(LOWER(TRIM($Q183)) = LOWER(TRIM(Dashboard!$A$6)), C183, "")
</f>
        <v/>
      </c>
      <c r="T183" s="91" t="str">
        <f>IF(LOWER(TRIM(TEXT($Q183, "mmmm yyyy"))) = LOWER(TRIM(Dashboard!$A$6)), A183:A1000, "")
</f>
        <v/>
      </c>
    </row>
    <row r="184">
      <c r="B184" s="85"/>
      <c r="C184" s="85"/>
      <c r="E184" s="81" t="str">
        <f t="shared" si="1"/>
        <v/>
      </c>
      <c r="F184" s="84"/>
      <c r="G184" s="85"/>
      <c r="H184" s="85"/>
      <c r="L184" s="86"/>
      <c r="Q184" s="91"/>
      <c r="R184" s="87" t="str">
        <f>IF(LOWER(TRIM($Q184)) = LOWER(TRIM(Dashboard!$A$6)), B184, "")
</f>
        <v/>
      </c>
      <c r="S184" s="87" t="str">
        <f>IF(LOWER(TRIM($Q184)) = LOWER(TRIM(Dashboard!$A$6)), C184, "")
</f>
        <v/>
      </c>
      <c r="T184" s="91" t="str">
        <f>IF(LOWER(TRIM(TEXT($Q184, "mmmm yyyy"))) = LOWER(TRIM(Dashboard!$A$6)), A184:A1000, "")
</f>
        <v/>
      </c>
    </row>
    <row r="185">
      <c r="B185" s="85"/>
      <c r="C185" s="85"/>
      <c r="E185" s="81" t="str">
        <f t="shared" si="1"/>
        <v/>
      </c>
      <c r="F185" s="84"/>
      <c r="G185" s="85"/>
      <c r="H185" s="85"/>
      <c r="L185" s="86"/>
      <c r="Q185" s="91"/>
      <c r="R185" s="87" t="str">
        <f>IF(LOWER(TRIM($Q185)) = LOWER(TRIM(Dashboard!$A$6)), B185, "")
</f>
        <v/>
      </c>
      <c r="S185" s="87" t="str">
        <f>IF(LOWER(TRIM($Q185)) = LOWER(TRIM(Dashboard!$A$6)), C185, "")
</f>
        <v/>
      </c>
      <c r="T185" s="91" t="str">
        <f>IF(LOWER(TRIM(TEXT($Q185, "mmmm yyyy"))) = LOWER(TRIM(Dashboard!$A$6)), A185:A1000, "")
</f>
        <v/>
      </c>
    </row>
    <row r="186">
      <c r="B186" s="85"/>
      <c r="C186" s="85"/>
      <c r="E186" s="81" t="str">
        <f t="shared" si="1"/>
        <v/>
      </c>
      <c r="F186" s="84"/>
      <c r="G186" s="85"/>
      <c r="H186" s="85"/>
      <c r="L186" s="86"/>
      <c r="Q186" s="91"/>
      <c r="R186" s="87" t="str">
        <f>IF(LOWER(TRIM($Q186)) = LOWER(TRIM(Dashboard!$A$6)), B186, "")
</f>
        <v/>
      </c>
      <c r="S186" s="87" t="str">
        <f>IF(LOWER(TRIM($Q186)) = LOWER(TRIM(Dashboard!$A$6)), C186, "")
</f>
        <v/>
      </c>
      <c r="T186" s="91" t="str">
        <f>IF(LOWER(TRIM(TEXT($Q186, "mmmm yyyy"))) = LOWER(TRIM(Dashboard!$A$6)), A186:A1000, "")
</f>
        <v/>
      </c>
    </row>
    <row r="187">
      <c r="B187" s="85"/>
      <c r="C187" s="85"/>
      <c r="E187" s="81" t="str">
        <f t="shared" si="1"/>
        <v/>
      </c>
      <c r="F187" s="84"/>
      <c r="G187" s="85"/>
      <c r="H187" s="85"/>
      <c r="L187" s="86"/>
      <c r="Q187" s="91"/>
      <c r="R187" s="87" t="str">
        <f>IF(LOWER(TRIM($Q187)) = LOWER(TRIM(Dashboard!$A$6)), B187, "")
</f>
        <v/>
      </c>
      <c r="S187" s="87" t="str">
        <f>IF(LOWER(TRIM($Q187)) = LOWER(TRIM(Dashboard!$A$6)), C187, "")
</f>
        <v/>
      </c>
      <c r="T187" s="91" t="str">
        <f>IF(LOWER(TRIM(TEXT($Q187, "mmmm yyyy"))) = LOWER(TRIM(Dashboard!$A$6)), A187:A1000, "")
</f>
        <v/>
      </c>
    </row>
    <row r="188">
      <c r="B188" s="85"/>
      <c r="C188" s="85"/>
      <c r="E188" s="81" t="str">
        <f t="shared" si="1"/>
        <v/>
      </c>
      <c r="F188" s="84"/>
      <c r="G188" s="85"/>
      <c r="H188" s="85"/>
      <c r="L188" s="86"/>
      <c r="Q188" s="91"/>
      <c r="R188" s="87" t="str">
        <f>IF(LOWER(TRIM($Q188)) = LOWER(TRIM(Dashboard!$A$6)), B188, "")
</f>
        <v/>
      </c>
      <c r="S188" s="87" t="str">
        <f>IF(LOWER(TRIM($Q188)) = LOWER(TRIM(Dashboard!$A$6)), C188, "")
</f>
        <v/>
      </c>
      <c r="T188" s="91" t="str">
        <f>IF(LOWER(TRIM(TEXT($Q188, "mmmm yyyy"))) = LOWER(TRIM(Dashboard!$A$6)), A188:A1000, "")
</f>
        <v/>
      </c>
    </row>
    <row r="189">
      <c r="B189" s="85"/>
      <c r="C189" s="85"/>
      <c r="E189" s="81" t="str">
        <f t="shared" si="1"/>
        <v/>
      </c>
      <c r="F189" s="84"/>
      <c r="G189" s="85"/>
      <c r="H189" s="85"/>
      <c r="L189" s="86"/>
      <c r="Q189" s="91"/>
      <c r="R189" s="87" t="str">
        <f>IF(LOWER(TRIM($Q189)) = LOWER(TRIM(Dashboard!$A$6)), B189, "")
</f>
        <v/>
      </c>
      <c r="S189" s="87" t="str">
        <f>IF(LOWER(TRIM($Q189)) = LOWER(TRIM(Dashboard!$A$6)), C189, "")
</f>
        <v/>
      </c>
      <c r="T189" s="91" t="str">
        <f>IF(LOWER(TRIM(TEXT($Q189, "mmmm yyyy"))) = LOWER(TRIM(Dashboard!$A$6)), A189:A1000, "")
</f>
        <v/>
      </c>
    </row>
    <row r="190">
      <c r="B190" s="85"/>
      <c r="C190" s="85"/>
      <c r="E190" s="81" t="str">
        <f t="shared" si="1"/>
        <v/>
      </c>
      <c r="F190" s="84"/>
      <c r="G190" s="85"/>
      <c r="H190" s="85"/>
      <c r="L190" s="86"/>
      <c r="Q190" s="91"/>
      <c r="R190" s="87" t="str">
        <f>IF(LOWER(TRIM($Q190)) = LOWER(TRIM(Dashboard!$A$6)), B190, "")
</f>
        <v/>
      </c>
      <c r="S190" s="87" t="str">
        <f>IF(LOWER(TRIM($Q190)) = LOWER(TRIM(Dashboard!$A$6)), C190, "")
</f>
        <v/>
      </c>
      <c r="T190" s="91" t="str">
        <f>IF(LOWER(TRIM(TEXT($Q190, "mmmm yyyy"))) = LOWER(TRIM(Dashboard!$A$6)), A190:A1000, "")
</f>
        <v/>
      </c>
    </row>
    <row r="191">
      <c r="B191" s="85"/>
      <c r="C191" s="85"/>
      <c r="E191" s="81" t="str">
        <f t="shared" si="1"/>
        <v/>
      </c>
      <c r="F191" s="84"/>
      <c r="G191" s="85"/>
      <c r="H191" s="85"/>
      <c r="L191" s="86"/>
      <c r="Q191" s="91"/>
      <c r="R191" s="87" t="str">
        <f>IF(LOWER(TRIM($Q191)) = LOWER(TRIM(Dashboard!$A$6)), B191, "")
</f>
        <v/>
      </c>
      <c r="S191" s="87" t="str">
        <f>IF(LOWER(TRIM($Q191)) = LOWER(TRIM(Dashboard!$A$6)), C191, "")
</f>
        <v/>
      </c>
      <c r="T191" s="91" t="str">
        <f>IF(LOWER(TRIM(TEXT($Q191, "mmmm yyyy"))) = LOWER(TRIM(Dashboard!$A$6)), A191:A1000, "")
</f>
        <v/>
      </c>
    </row>
    <row r="192">
      <c r="B192" s="85"/>
      <c r="C192" s="85"/>
      <c r="E192" s="81" t="str">
        <f t="shared" si="1"/>
        <v/>
      </c>
      <c r="F192" s="84"/>
      <c r="G192" s="85"/>
      <c r="H192" s="85"/>
      <c r="L192" s="86"/>
      <c r="Q192" s="91"/>
      <c r="R192" s="87" t="str">
        <f>IF(LOWER(TRIM($Q192)) = LOWER(TRIM(Dashboard!$A$6)), B192, "")
</f>
        <v/>
      </c>
      <c r="S192" s="87" t="str">
        <f>IF(LOWER(TRIM($Q192)) = LOWER(TRIM(Dashboard!$A$6)), C192, "")
</f>
        <v/>
      </c>
      <c r="T192" s="91" t="str">
        <f>IF(LOWER(TRIM(TEXT($Q192, "mmmm yyyy"))) = LOWER(TRIM(Dashboard!$A$6)), A192:A1000, "")
</f>
        <v/>
      </c>
    </row>
    <row r="193">
      <c r="B193" s="85"/>
      <c r="C193" s="85"/>
      <c r="E193" s="81" t="str">
        <f t="shared" si="1"/>
        <v/>
      </c>
      <c r="F193" s="84"/>
      <c r="G193" s="85"/>
      <c r="H193" s="85"/>
      <c r="L193" s="86"/>
      <c r="Q193" s="91"/>
      <c r="R193" s="87" t="str">
        <f>IF(LOWER(TRIM($Q193)) = LOWER(TRIM(Dashboard!$A$6)), B193, "")
</f>
        <v/>
      </c>
      <c r="S193" s="87" t="str">
        <f>IF(LOWER(TRIM($Q193)) = LOWER(TRIM(Dashboard!$A$6)), C193, "")
</f>
        <v/>
      </c>
      <c r="T193" s="91" t="str">
        <f>IF(LOWER(TRIM(TEXT($Q193, "mmmm yyyy"))) = LOWER(TRIM(Dashboard!$A$6)), A193:A1000, "")
</f>
        <v/>
      </c>
    </row>
    <row r="194">
      <c r="B194" s="85"/>
      <c r="C194" s="85"/>
      <c r="E194" s="81" t="str">
        <f t="shared" si="1"/>
        <v/>
      </c>
      <c r="F194" s="84"/>
      <c r="G194" s="85"/>
      <c r="H194" s="85"/>
      <c r="L194" s="86"/>
      <c r="Q194" s="91"/>
      <c r="R194" s="87" t="str">
        <f>IF(LOWER(TRIM($Q194)) = LOWER(TRIM(Dashboard!$A$6)), B194, "")
</f>
        <v/>
      </c>
      <c r="S194" s="87" t="str">
        <f>IF(LOWER(TRIM($Q194)) = LOWER(TRIM(Dashboard!$A$6)), C194, "")
</f>
        <v/>
      </c>
      <c r="T194" s="91" t="str">
        <f>IF(LOWER(TRIM(TEXT($Q194, "mmmm yyyy"))) = LOWER(TRIM(Dashboard!$A$6)), A194:A1000, "")
</f>
        <v/>
      </c>
    </row>
    <row r="195">
      <c r="B195" s="85"/>
      <c r="C195" s="85"/>
      <c r="E195" s="81" t="str">
        <f t="shared" si="1"/>
        <v/>
      </c>
      <c r="F195" s="84"/>
      <c r="G195" s="85"/>
      <c r="H195" s="85"/>
      <c r="L195" s="86"/>
      <c r="Q195" s="91"/>
      <c r="R195" s="87" t="str">
        <f>IF(LOWER(TRIM($Q195)) = LOWER(TRIM(Dashboard!$A$6)), B195, "")
</f>
        <v/>
      </c>
      <c r="S195" s="87" t="str">
        <f>IF(LOWER(TRIM($Q195)) = LOWER(TRIM(Dashboard!$A$6)), C195, "")
</f>
        <v/>
      </c>
      <c r="T195" s="91" t="str">
        <f>IF(LOWER(TRIM(TEXT($Q195, "mmmm yyyy"))) = LOWER(TRIM(Dashboard!$A$6)), A195:A1000, "")
</f>
        <v/>
      </c>
    </row>
    <row r="196">
      <c r="B196" s="85"/>
      <c r="C196" s="85"/>
      <c r="E196" s="81" t="str">
        <f t="shared" si="1"/>
        <v/>
      </c>
      <c r="F196" s="84"/>
      <c r="G196" s="85"/>
      <c r="H196" s="85"/>
      <c r="L196" s="86"/>
      <c r="Q196" s="91"/>
      <c r="R196" s="87" t="str">
        <f>IF(LOWER(TRIM($Q196)) = LOWER(TRIM(Dashboard!$A$6)), B196, "")
</f>
        <v/>
      </c>
      <c r="S196" s="87" t="str">
        <f>IF(LOWER(TRIM($Q196)) = LOWER(TRIM(Dashboard!$A$6)), C196, "")
</f>
        <v/>
      </c>
      <c r="T196" s="91" t="str">
        <f>IF(LOWER(TRIM(TEXT($Q196, "mmmm yyyy"))) = LOWER(TRIM(Dashboard!$A$6)), A196:A1000, "")
</f>
        <v/>
      </c>
    </row>
    <row r="197">
      <c r="B197" s="85"/>
      <c r="C197" s="85"/>
      <c r="E197" s="81" t="str">
        <f t="shared" si="1"/>
        <v/>
      </c>
      <c r="F197" s="84"/>
      <c r="G197" s="85"/>
      <c r="H197" s="85"/>
      <c r="L197" s="86"/>
      <c r="Q197" s="91"/>
      <c r="R197" s="87" t="str">
        <f>IF(LOWER(TRIM($Q197)) = LOWER(TRIM(Dashboard!$A$6)), B197, "")
</f>
        <v/>
      </c>
      <c r="S197" s="87" t="str">
        <f>IF(LOWER(TRIM($Q197)) = LOWER(TRIM(Dashboard!$A$6)), C197, "")
</f>
        <v/>
      </c>
      <c r="T197" s="91" t="str">
        <f>IF(LOWER(TRIM(TEXT($Q197, "mmmm yyyy"))) = LOWER(TRIM(Dashboard!$A$6)), A197:A1000, "")
</f>
        <v/>
      </c>
    </row>
    <row r="198">
      <c r="B198" s="85"/>
      <c r="C198" s="85"/>
      <c r="E198" s="81" t="str">
        <f t="shared" si="1"/>
        <v/>
      </c>
      <c r="F198" s="84"/>
      <c r="G198" s="85"/>
      <c r="H198" s="85"/>
      <c r="L198" s="86"/>
      <c r="Q198" s="91"/>
      <c r="R198" s="87" t="str">
        <f>IF(LOWER(TRIM($Q198)) = LOWER(TRIM(Dashboard!$A$6)), B198, "")
</f>
        <v/>
      </c>
      <c r="S198" s="87" t="str">
        <f>IF(LOWER(TRIM($Q198)) = LOWER(TRIM(Dashboard!$A$6)), C198, "")
</f>
        <v/>
      </c>
      <c r="T198" s="91" t="str">
        <f>IF(LOWER(TRIM(TEXT($Q198, "mmmm yyyy"))) = LOWER(TRIM(Dashboard!$A$6)), A198:A1000, "")
</f>
        <v/>
      </c>
    </row>
    <row r="199">
      <c r="B199" s="85"/>
      <c r="C199" s="85"/>
      <c r="E199" s="81" t="str">
        <f t="shared" si="1"/>
        <v/>
      </c>
      <c r="F199" s="84"/>
      <c r="G199" s="85"/>
      <c r="H199" s="85"/>
      <c r="L199" s="86"/>
      <c r="Q199" s="91"/>
      <c r="R199" s="87" t="str">
        <f>IF(LOWER(TRIM($Q199)) = LOWER(TRIM(Dashboard!$A$6)), B199, "")
</f>
        <v/>
      </c>
      <c r="S199" s="87" t="str">
        <f>IF(LOWER(TRIM($Q199)) = LOWER(TRIM(Dashboard!$A$6)), C199, "")
</f>
        <v/>
      </c>
      <c r="T199" s="91" t="str">
        <f>IF(LOWER(TRIM(TEXT($Q199, "mmmm yyyy"))) = LOWER(TRIM(Dashboard!$A$6)), A199:A1000, "")
</f>
        <v/>
      </c>
    </row>
    <row r="200">
      <c r="B200" s="85"/>
      <c r="C200" s="85"/>
      <c r="E200" s="81" t="str">
        <f t="shared" si="1"/>
        <v/>
      </c>
      <c r="F200" s="84"/>
      <c r="G200" s="85"/>
      <c r="H200" s="85"/>
      <c r="L200" s="86"/>
      <c r="Q200" s="91"/>
      <c r="R200" s="87" t="str">
        <f>IF(LOWER(TRIM($Q200)) = LOWER(TRIM(Dashboard!$A$6)), B200, "")
</f>
        <v/>
      </c>
      <c r="S200" s="87" t="str">
        <f>IF(LOWER(TRIM($Q200)) = LOWER(TRIM(Dashboard!$A$6)), C200, "")
</f>
        <v/>
      </c>
      <c r="T200" s="91" t="str">
        <f>IF(LOWER(TRIM(TEXT($Q200, "mmmm yyyy"))) = LOWER(TRIM(Dashboard!$A$6)), A200:A1000, "")
</f>
        <v/>
      </c>
    </row>
    <row r="201">
      <c r="B201" s="85"/>
      <c r="C201" s="85"/>
      <c r="E201" s="81" t="str">
        <f t="shared" si="1"/>
        <v/>
      </c>
      <c r="F201" s="84"/>
      <c r="G201" s="85"/>
      <c r="H201" s="85"/>
      <c r="L201" s="86"/>
      <c r="Q201" s="91"/>
      <c r="R201" s="87" t="str">
        <f>IF(LOWER(TRIM($Q201)) = LOWER(TRIM(Dashboard!$A$6)), B201, "")
</f>
        <v/>
      </c>
      <c r="S201" s="87" t="str">
        <f>IF(LOWER(TRIM($Q201)) = LOWER(TRIM(Dashboard!$A$6)), C201, "")
</f>
        <v/>
      </c>
      <c r="T201" s="91" t="str">
        <f>IF(LOWER(TRIM(TEXT($Q201, "mmmm yyyy"))) = LOWER(TRIM(Dashboard!$A$6)), A201:A1000, "")
</f>
        <v/>
      </c>
    </row>
    <row r="202">
      <c r="B202" s="85"/>
      <c r="C202" s="85"/>
      <c r="E202" s="81" t="str">
        <f t="shared" si="1"/>
        <v/>
      </c>
      <c r="F202" s="84"/>
      <c r="G202" s="85"/>
      <c r="H202" s="85"/>
      <c r="L202" s="86"/>
      <c r="Q202" s="91"/>
      <c r="R202" s="87" t="str">
        <f>IF(LOWER(TRIM($Q202)) = LOWER(TRIM(Dashboard!$A$6)), B202, "")
</f>
        <v/>
      </c>
      <c r="S202" s="87" t="str">
        <f>IF(LOWER(TRIM($Q202)) = LOWER(TRIM(Dashboard!$A$6)), C202, "")
</f>
        <v/>
      </c>
      <c r="T202" s="91" t="str">
        <f>IF(LOWER(TRIM(TEXT($Q202, "mmmm yyyy"))) = LOWER(TRIM(Dashboard!$A$6)), A202:A1000, "")
</f>
        <v/>
      </c>
    </row>
    <row r="203">
      <c r="B203" s="85"/>
      <c r="C203" s="85"/>
      <c r="E203" s="81" t="str">
        <f t="shared" si="1"/>
        <v/>
      </c>
      <c r="F203" s="84"/>
      <c r="G203" s="85"/>
      <c r="H203" s="85"/>
      <c r="L203" s="86"/>
      <c r="Q203" s="91"/>
      <c r="R203" s="87" t="str">
        <f>IF(LOWER(TRIM($Q203)) = LOWER(TRIM(Dashboard!$A$6)), B203, "")
</f>
        <v/>
      </c>
      <c r="S203" s="87" t="str">
        <f>IF(LOWER(TRIM($Q203)) = LOWER(TRIM(Dashboard!$A$6)), C203, "")
</f>
        <v/>
      </c>
      <c r="T203" s="91" t="str">
        <f>IF(LOWER(TRIM(TEXT($Q203, "mmmm yyyy"))) = LOWER(TRIM(Dashboard!$A$6)), A203:A1000, "")
</f>
        <v/>
      </c>
    </row>
    <row r="204">
      <c r="B204" s="85"/>
      <c r="C204" s="85"/>
      <c r="E204" s="81" t="str">
        <f t="shared" si="1"/>
        <v/>
      </c>
      <c r="F204" s="84"/>
      <c r="G204" s="85"/>
      <c r="H204" s="85"/>
      <c r="L204" s="86"/>
      <c r="Q204" s="91"/>
      <c r="R204" s="87" t="str">
        <f>IF(LOWER(TRIM($Q204)) = LOWER(TRIM(Dashboard!$A$6)), B204, "")
</f>
        <v/>
      </c>
      <c r="S204" s="87" t="str">
        <f>IF(LOWER(TRIM($Q204)) = LOWER(TRIM(Dashboard!$A$6)), C204, "")
</f>
        <v/>
      </c>
      <c r="T204" s="91" t="str">
        <f>IF(LOWER(TRIM(TEXT($Q204, "mmmm yyyy"))) = LOWER(TRIM(Dashboard!$A$6)), A204:A1000, "")
</f>
        <v/>
      </c>
    </row>
    <row r="205">
      <c r="B205" s="85"/>
      <c r="C205" s="85"/>
      <c r="E205" s="81" t="str">
        <f t="shared" si="1"/>
        <v/>
      </c>
      <c r="F205" s="84"/>
      <c r="G205" s="85"/>
      <c r="H205" s="85"/>
      <c r="L205" s="86"/>
      <c r="Q205" s="91"/>
      <c r="R205" s="87" t="str">
        <f>IF(LOWER(TRIM($Q205)) = LOWER(TRIM(Dashboard!$A$6)), B205, "")
</f>
        <v/>
      </c>
      <c r="S205" s="87" t="str">
        <f>IF(LOWER(TRIM($Q205)) = LOWER(TRIM(Dashboard!$A$6)), C205, "")
</f>
        <v/>
      </c>
      <c r="T205" s="91" t="str">
        <f>IF(LOWER(TRIM(TEXT($Q205, "mmmm yyyy"))) = LOWER(TRIM(Dashboard!$A$6)), A205:A1000, "")
</f>
        <v/>
      </c>
    </row>
    <row r="206">
      <c r="B206" s="85"/>
      <c r="C206" s="85"/>
      <c r="E206" s="81" t="str">
        <f t="shared" si="1"/>
        <v/>
      </c>
      <c r="F206" s="84"/>
      <c r="G206" s="85"/>
      <c r="H206" s="85"/>
      <c r="L206" s="86"/>
      <c r="Q206" s="91"/>
      <c r="R206" s="87" t="str">
        <f>IF(LOWER(TRIM($Q206)) = LOWER(TRIM(Dashboard!$A$6)), B206, "")
</f>
        <v/>
      </c>
      <c r="S206" s="87" t="str">
        <f>IF(LOWER(TRIM($Q206)) = LOWER(TRIM(Dashboard!$A$6)), C206, "")
</f>
        <v/>
      </c>
      <c r="T206" s="91" t="str">
        <f>IF(LOWER(TRIM(TEXT($Q206, "mmmm yyyy"))) = LOWER(TRIM(Dashboard!$A$6)), A206:A1000, "")
</f>
        <v/>
      </c>
    </row>
    <row r="207">
      <c r="B207" s="85"/>
      <c r="C207" s="85"/>
      <c r="E207" s="81" t="str">
        <f t="shared" si="1"/>
        <v/>
      </c>
      <c r="F207" s="84"/>
      <c r="G207" s="85"/>
      <c r="H207" s="85"/>
      <c r="L207" s="86"/>
      <c r="Q207" s="91"/>
      <c r="R207" s="87" t="str">
        <f>IF(LOWER(TRIM($Q207)) = LOWER(TRIM(Dashboard!$A$6)), B207, "")
</f>
        <v/>
      </c>
      <c r="S207" s="87" t="str">
        <f>IF(LOWER(TRIM($Q207)) = LOWER(TRIM(Dashboard!$A$6)), C207, "")
</f>
        <v/>
      </c>
      <c r="T207" s="91" t="str">
        <f>IF(LOWER(TRIM(TEXT($Q207, "mmmm yyyy"))) = LOWER(TRIM(Dashboard!$A$6)), A207:A1000, "")
</f>
        <v/>
      </c>
    </row>
    <row r="208">
      <c r="B208" s="85"/>
      <c r="C208" s="85"/>
      <c r="E208" s="81" t="str">
        <f t="shared" si="1"/>
        <v/>
      </c>
      <c r="F208" s="84"/>
      <c r="G208" s="85"/>
      <c r="H208" s="85"/>
      <c r="L208" s="86"/>
      <c r="Q208" s="91"/>
      <c r="R208" s="87" t="str">
        <f>IF(LOWER(TRIM($Q208)) = LOWER(TRIM(Dashboard!$A$6)), B208, "")
</f>
        <v/>
      </c>
      <c r="S208" s="87" t="str">
        <f>IF(LOWER(TRIM($Q208)) = LOWER(TRIM(Dashboard!$A$6)), C208, "")
</f>
        <v/>
      </c>
      <c r="T208" s="91" t="str">
        <f>IF(LOWER(TRIM(TEXT($Q208, "mmmm yyyy"))) = LOWER(TRIM(Dashboard!$A$6)), A208:A1000, "")
</f>
        <v/>
      </c>
    </row>
    <row r="209">
      <c r="B209" s="85"/>
      <c r="C209" s="85"/>
      <c r="E209" s="81" t="str">
        <f t="shared" si="1"/>
        <v/>
      </c>
      <c r="F209" s="84"/>
      <c r="G209" s="85"/>
      <c r="H209" s="85"/>
      <c r="L209" s="86"/>
      <c r="Q209" s="91"/>
      <c r="R209" s="87" t="str">
        <f>IF(LOWER(TRIM($Q209)) = LOWER(TRIM(Dashboard!$A$6)), B209, "")
</f>
        <v/>
      </c>
      <c r="S209" s="87" t="str">
        <f>IF(LOWER(TRIM($Q209)) = LOWER(TRIM(Dashboard!$A$6)), C209, "")
</f>
        <v/>
      </c>
      <c r="T209" s="91" t="str">
        <f>IF(LOWER(TRIM(TEXT($Q209, "mmmm yyyy"))) = LOWER(TRIM(Dashboard!$A$6)), A209:A1000, "")
</f>
        <v/>
      </c>
    </row>
    <row r="210">
      <c r="B210" s="85"/>
      <c r="C210" s="85"/>
      <c r="E210" s="81" t="str">
        <f t="shared" si="1"/>
        <v/>
      </c>
      <c r="F210" s="84"/>
      <c r="G210" s="85"/>
      <c r="H210" s="85"/>
      <c r="L210" s="86"/>
      <c r="Q210" s="91"/>
      <c r="R210" s="87" t="str">
        <f>IF(LOWER(TRIM($Q210)) = LOWER(TRIM(Dashboard!$A$6)), B210, "")
</f>
        <v/>
      </c>
      <c r="S210" s="87" t="str">
        <f>IF(LOWER(TRIM($Q210)) = LOWER(TRIM(Dashboard!$A$6)), C210, "")
</f>
        <v/>
      </c>
      <c r="T210" s="91" t="str">
        <f>IF(LOWER(TRIM(TEXT($Q210, "mmmm yyyy"))) = LOWER(TRIM(Dashboard!$A$6)), A210:A1000, "")
</f>
        <v/>
      </c>
    </row>
    <row r="211">
      <c r="B211" s="85"/>
      <c r="C211" s="85"/>
      <c r="E211" s="81" t="str">
        <f t="shared" si="1"/>
        <v/>
      </c>
      <c r="F211" s="84"/>
      <c r="G211" s="85"/>
      <c r="H211" s="85"/>
      <c r="L211" s="86"/>
      <c r="Q211" s="91"/>
      <c r="R211" s="87" t="str">
        <f>IF(LOWER(TRIM($Q211)) = LOWER(TRIM(Dashboard!$A$6)), B211, "")
</f>
        <v/>
      </c>
      <c r="S211" s="87" t="str">
        <f>IF(LOWER(TRIM($Q211)) = LOWER(TRIM(Dashboard!$A$6)), C211, "")
</f>
        <v/>
      </c>
      <c r="T211" s="91" t="str">
        <f>IF(LOWER(TRIM(TEXT($Q211, "mmmm yyyy"))) = LOWER(TRIM(Dashboard!$A$6)), A211:A1000, "")
</f>
        <v/>
      </c>
    </row>
    <row r="212">
      <c r="B212" s="85"/>
      <c r="C212" s="85"/>
      <c r="E212" s="81" t="str">
        <f t="shared" si="1"/>
        <v/>
      </c>
      <c r="F212" s="84"/>
      <c r="G212" s="85"/>
      <c r="H212" s="85"/>
      <c r="L212" s="86"/>
      <c r="Q212" s="91"/>
      <c r="R212" s="87" t="str">
        <f>IF(LOWER(TRIM($Q212)) = LOWER(TRIM(Dashboard!$A$6)), B212, "")
</f>
        <v/>
      </c>
      <c r="S212" s="87" t="str">
        <f>IF(LOWER(TRIM($Q212)) = LOWER(TRIM(Dashboard!$A$6)), C212, "")
</f>
        <v/>
      </c>
      <c r="T212" s="91" t="str">
        <f>IF(LOWER(TRIM(TEXT($Q212, "mmmm yyyy"))) = LOWER(TRIM(Dashboard!$A$6)), A212:A1000, "")
</f>
        <v/>
      </c>
    </row>
    <row r="213">
      <c r="B213" s="85"/>
      <c r="C213" s="85"/>
      <c r="E213" s="81" t="str">
        <f t="shared" si="1"/>
        <v/>
      </c>
      <c r="F213" s="84"/>
      <c r="G213" s="85"/>
      <c r="H213" s="85"/>
      <c r="L213" s="86"/>
      <c r="Q213" s="91"/>
      <c r="R213" s="87" t="str">
        <f>IF(LOWER(TRIM($Q213)) = LOWER(TRIM(Dashboard!$A$6)), B213, "")
</f>
        <v/>
      </c>
      <c r="S213" s="87" t="str">
        <f>IF(LOWER(TRIM($Q213)) = LOWER(TRIM(Dashboard!$A$6)), C213, "")
</f>
        <v/>
      </c>
      <c r="T213" s="91" t="str">
        <f>IF(LOWER(TRIM(TEXT($Q213, "mmmm yyyy"))) = LOWER(TRIM(Dashboard!$A$6)), A213:A1000, "")
</f>
        <v/>
      </c>
    </row>
    <row r="214">
      <c r="B214" s="85"/>
      <c r="C214" s="85"/>
      <c r="E214" s="81" t="str">
        <f t="shared" si="1"/>
        <v/>
      </c>
      <c r="F214" s="84"/>
      <c r="G214" s="85"/>
      <c r="H214" s="85"/>
      <c r="L214" s="86"/>
      <c r="Q214" s="91"/>
      <c r="R214" s="87" t="str">
        <f>IF(LOWER(TRIM($Q214)) = LOWER(TRIM(Dashboard!$A$6)), B214, "")
</f>
        <v/>
      </c>
      <c r="S214" s="87" t="str">
        <f>IF(LOWER(TRIM($Q214)) = LOWER(TRIM(Dashboard!$A$6)), C214, "")
</f>
        <v/>
      </c>
      <c r="T214" s="91" t="str">
        <f>IF(LOWER(TRIM(TEXT($Q214, "mmmm yyyy"))) = LOWER(TRIM(Dashboard!$A$6)), A214:A1000, "")
</f>
        <v/>
      </c>
    </row>
    <row r="215">
      <c r="B215" s="85"/>
      <c r="C215" s="85"/>
      <c r="E215" s="81" t="str">
        <f t="shared" si="1"/>
        <v/>
      </c>
      <c r="F215" s="84"/>
      <c r="G215" s="85"/>
      <c r="H215" s="85"/>
      <c r="L215" s="86"/>
      <c r="Q215" s="91"/>
      <c r="R215" s="87" t="str">
        <f>IF(LOWER(TRIM($Q215)) = LOWER(TRIM(Dashboard!$A$6)), B215, "")
</f>
        <v/>
      </c>
      <c r="S215" s="87" t="str">
        <f>IF(LOWER(TRIM($Q215)) = LOWER(TRIM(Dashboard!$A$6)), C215, "")
</f>
        <v/>
      </c>
      <c r="T215" s="91" t="str">
        <f>IF(LOWER(TRIM(TEXT($Q215, "mmmm yyyy"))) = LOWER(TRIM(Dashboard!$A$6)), A215:A1000, "")
</f>
        <v/>
      </c>
    </row>
    <row r="216">
      <c r="B216" s="85"/>
      <c r="C216" s="85"/>
      <c r="E216" s="81" t="str">
        <f t="shared" si="1"/>
        <v/>
      </c>
      <c r="F216" s="84"/>
      <c r="G216" s="85"/>
      <c r="H216" s="85"/>
      <c r="L216" s="86"/>
      <c r="Q216" s="91"/>
      <c r="R216" s="87" t="str">
        <f>IF(LOWER(TRIM($Q216)) = LOWER(TRIM(Dashboard!$A$6)), B216, "")
</f>
        <v/>
      </c>
      <c r="S216" s="87" t="str">
        <f>IF(LOWER(TRIM($Q216)) = LOWER(TRIM(Dashboard!$A$6)), C216, "")
</f>
        <v/>
      </c>
      <c r="T216" s="91" t="str">
        <f>IF(LOWER(TRIM(TEXT($Q216, "mmmm yyyy"))) = LOWER(TRIM(Dashboard!$A$6)), A216:A1000, "")
</f>
        <v/>
      </c>
    </row>
    <row r="217">
      <c r="B217" s="85"/>
      <c r="C217" s="85"/>
      <c r="E217" s="81" t="str">
        <f t="shared" si="1"/>
        <v/>
      </c>
      <c r="F217" s="84"/>
      <c r="G217" s="85"/>
      <c r="H217" s="85"/>
      <c r="L217" s="86"/>
      <c r="Q217" s="91"/>
      <c r="R217" s="87" t="str">
        <f>IF(LOWER(TRIM($Q217)) = LOWER(TRIM(Dashboard!$A$6)), B217, "")
</f>
        <v/>
      </c>
      <c r="S217" s="87" t="str">
        <f>IF(LOWER(TRIM($Q217)) = LOWER(TRIM(Dashboard!$A$6)), C217, "")
</f>
        <v/>
      </c>
      <c r="T217" s="91" t="str">
        <f>IF(LOWER(TRIM(TEXT($Q217, "mmmm yyyy"))) = LOWER(TRIM(Dashboard!$A$6)), A217:A1000, "")
</f>
        <v/>
      </c>
    </row>
    <row r="218">
      <c r="B218" s="85"/>
      <c r="C218" s="85"/>
      <c r="E218" s="81" t="str">
        <f t="shared" si="1"/>
        <v/>
      </c>
      <c r="F218" s="84"/>
      <c r="G218" s="85"/>
      <c r="H218" s="85"/>
      <c r="L218" s="86"/>
      <c r="Q218" s="91"/>
      <c r="R218" s="87" t="str">
        <f>IF(LOWER(TRIM($Q218)) = LOWER(TRIM(Dashboard!$A$6)), B218, "")
</f>
        <v/>
      </c>
      <c r="S218" s="87" t="str">
        <f>IF(LOWER(TRIM($Q218)) = LOWER(TRIM(Dashboard!$A$6)), C218, "")
</f>
        <v/>
      </c>
      <c r="T218" s="91" t="str">
        <f>IF(LOWER(TRIM(TEXT($Q218, "mmmm yyyy"))) = LOWER(TRIM(Dashboard!$A$6)), A218:A1000, "")
</f>
        <v/>
      </c>
    </row>
    <row r="219">
      <c r="B219" s="85"/>
      <c r="C219" s="85"/>
      <c r="E219" s="81" t="str">
        <f t="shared" si="1"/>
        <v/>
      </c>
      <c r="F219" s="84"/>
      <c r="G219" s="85"/>
      <c r="H219" s="85"/>
      <c r="L219" s="86"/>
      <c r="Q219" s="91"/>
      <c r="R219" s="87" t="str">
        <f>IF(LOWER(TRIM($Q219)) = LOWER(TRIM(Dashboard!$A$6)), B219, "")
</f>
        <v/>
      </c>
      <c r="S219" s="87" t="str">
        <f>IF(LOWER(TRIM($Q219)) = LOWER(TRIM(Dashboard!$A$6)), C219, "")
</f>
        <v/>
      </c>
      <c r="T219" s="91" t="str">
        <f>IF(LOWER(TRIM(TEXT($Q219, "mmmm yyyy"))) = LOWER(TRIM(Dashboard!$A$6)), A219:A1000, "")
</f>
        <v/>
      </c>
    </row>
    <row r="220">
      <c r="B220" s="85"/>
      <c r="C220" s="85"/>
      <c r="E220" s="81" t="str">
        <f t="shared" si="1"/>
        <v/>
      </c>
      <c r="F220" s="84"/>
      <c r="G220" s="85"/>
      <c r="H220" s="85"/>
      <c r="L220" s="86"/>
      <c r="Q220" s="91"/>
      <c r="R220" s="87" t="str">
        <f>IF(LOWER(TRIM($Q220)) = LOWER(TRIM(Dashboard!$A$6)), B220, "")
</f>
        <v/>
      </c>
      <c r="S220" s="87" t="str">
        <f>IF(LOWER(TRIM($Q220)) = LOWER(TRIM(Dashboard!$A$6)), C220, "")
</f>
        <v/>
      </c>
      <c r="T220" s="91" t="str">
        <f>IF(LOWER(TRIM(TEXT($Q220, "mmmm yyyy"))) = LOWER(TRIM(Dashboard!$A$6)), A220:A1000, "")
</f>
        <v/>
      </c>
    </row>
    <row r="221">
      <c r="B221" s="85"/>
      <c r="C221" s="85"/>
      <c r="E221" s="81" t="str">
        <f t="shared" si="1"/>
        <v/>
      </c>
      <c r="F221" s="84"/>
      <c r="G221" s="85"/>
      <c r="H221" s="85"/>
      <c r="L221" s="86"/>
      <c r="Q221" s="91"/>
      <c r="R221" s="87" t="str">
        <f>IF(LOWER(TRIM($Q221)) = LOWER(TRIM(Dashboard!$A$6)), B221, "")
</f>
        <v/>
      </c>
      <c r="S221" s="87" t="str">
        <f>IF(LOWER(TRIM($Q221)) = LOWER(TRIM(Dashboard!$A$6)), C221, "")
</f>
        <v/>
      </c>
      <c r="T221" s="91" t="str">
        <f>IF(LOWER(TRIM(TEXT($Q221, "mmmm yyyy"))) = LOWER(TRIM(Dashboard!$A$6)), A221:A1000, "")
</f>
        <v/>
      </c>
    </row>
    <row r="222">
      <c r="B222" s="85"/>
      <c r="C222" s="85"/>
      <c r="E222" s="81" t="str">
        <f t="shared" si="1"/>
        <v/>
      </c>
      <c r="F222" s="84"/>
      <c r="G222" s="85"/>
      <c r="H222" s="85"/>
      <c r="L222" s="86"/>
      <c r="Q222" s="91"/>
      <c r="R222" s="87" t="str">
        <f>IF(LOWER(TRIM($Q222)) = LOWER(TRIM(Dashboard!$A$6)), B222, "")
</f>
        <v/>
      </c>
      <c r="S222" s="87" t="str">
        <f>IF(LOWER(TRIM($Q222)) = LOWER(TRIM(Dashboard!$A$6)), C222, "")
</f>
        <v/>
      </c>
      <c r="T222" s="91" t="str">
        <f>IF(LOWER(TRIM(TEXT($Q222, "mmmm yyyy"))) = LOWER(TRIM(Dashboard!$A$6)), A222:A1000, "")
</f>
        <v/>
      </c>
    </row>
    <row r="223">
      <c r="B223" s="85"/>
      <c r="C223" s="85"/>
      <c r="E223" s="81" t="str">
        <f t="shared" si="1"/>
        <v/>
      </c>
      <c r="F223" s="84"/>
      <c r="G223" s="85"/>
      <c r="H223" s="85"/>
      <c r="L223" s="86"/>
      <c r="Q223" s="91"/>
      <c r="R223" s="87" t="str">
        <f>IF(LOWER(TRIM($Q223)) = LOWER(TRIM(Dashboard!$A$6)), B223, "")
</f>
        <v/>
      </c>
      <c r="S223" s="87" t="str">
        <f>IF(LOWER(TRIM($Q223)) = LOWER(TRIM(Dashboard!$A$6)), C223, "")
</f>
        <v/>
      </c>
      <c r="T223" s="91" t="str">
        <f>IF(LOWER(TRIM(TEXT($Q223, "mmmm yyyy"))) = LOWER(TRIM(Dashboard!$A$6)), A223:A1000, "")
</f>
        <v/>
      </c>
    </row>
    <row r="224">
      <c r="B224" s="85"/>
      <c r="C224" s="85"/>
      <c r="E224" s="81" t="str">
        <f t="shared" si="1"/>
        <v/>
      </c>
      <c r="F224" s="84"/>
      <c r="G224" s="85"/>
      <c r="H224" s="85"/>
      <c r="L224" s="86"/>
      <c r="Q224" s="91"/>
      <c r="R224" s="87" t="str">
        <f>IF(LOWER(TRIM($Q224)) = LOWER(TRIM(Dashboard!$A$6)), B224, "")
</f>
        <v/>
      </c>
      <c r="S224" s="87" t="str">
        <f>IF(LOWER(TRIM($Q224)) = LOWER(TRIM(Dashboard!$A$6)), C224, "")
</f>
        <v/>
      </c>
      <c r="T224" s="91" t="str">
        <f>IF(LOWER(TRIM(TEXT($Q224, "mmmm yyyy"))) = LOWER(TRIM(Dashboard!$A$6)), A224:A1000, "")
</f>
        <v/>
      </c>
    </row>
    <row r="225">
      <c r="B225" s="85"/>
      <c r="C225" s="85"/>
      <c r="E225" s="81" t="str">
        <f t="shared" si="1"/>
        <v/>
      </c>
      <c r="F225" s="84"/>
      <c r="G225" s="85"/>
      <c r="H225" s="85"/>
      <c r="L225" s="86"/>
      <c r="Q225" s="91"/>
      <c r="R225" s="87" t="str">
        <f>IF(LOWER(TRIM($Q225)) = LOWER(TRIM(Dashboard!$A$6)), B225, "")
</f>
        <v/>
      </c>
      <c r="S225" s="87" t="str">
        <f>IF(LOWER(TRIM($Q225)) = LOWER(TRIM(Dashboard!$A$6)), C225, "")
</f>
        <v/>
      </c>
      <c r="T225" s="91" t="str">
        <f>IF(LOWER(TRIM(TEXT($Q225, "mmmm yyyy"))) = LOWER(TRIM(Dashboard!$A$6)), A225:A1000, "")
</f>
        <v/>
      </c>
    </row>
    <row r="226">
      <c r="B226" s="85"/>
      <c r="C226" s="85"/>
      <c r="E226" s="81" t="str">
        <f t="shared" si="1"/>
        <v/>
      </c>
      <c r="F226" s="84"/>
      <c r="G226" s="85"/>
      <c r="H226" s="85"/>
      <c r="L226" s="86"/>
      <c r="Q226" s="91"/>
      <c r="R226" s="87" t="str">
        <f>IF(LOWER(TRIM($Q226)) = LOWER(TRIM(Dashboard!$A$6)), B226, "")
</f>
        <v/>
      </c>
      <c r="S226" s="87" t="str">
        <f>IF(LOWER(TRIM($Q226)) = LOWER(TRIM(Dashboard!$A$6)), C226, "")
</f>
        <v/>
      </c>
      <c r="T226" s="91" t="str">
        <f>IF(LOWER(TRIM(TEXT($Q226, "mmmm yyyy"))) = LOWER(TRIM(Dashboard!$A$6)), A226:A1000, "")
</f>
        <v/>
      </c>
    </row>
    <row r="227">
      <c r="B227" s="85"/>
      <c r="C227" s="85"/>
      <c r="E227" s="81" t="str">
        <f t="shared" si="1"/>
        <v/>
      </c>
      <c r="F227" s="84"/>
      <c r="G227" s="85"/>
      <c r="H227" s="85"/>
      <c r="L227" s="86"/>
      <c r="Q227" s="91"/>
      <c r="R227" s="87" t="str">
        <f>IF(LOWER(TRIM($Q227)) = LOWER(TRIM(Dashboard!$A$6)), B227, "")
</f>
        <v/>
      </c>
      <c r="S227" s="87" t="str">
        <f>IF(LOWER(TRIM($Q227)) = LOWER(TRIM(Dashboard!$A$6)), C227, "")
</f>
        <v/>
      </c>
      <c r="T227" s="91" t="str">
        <f>IF(LOWER(TRIM(TEXT($Q227, "mmmm yyyy"))) = LOWER(TRIM(Dashboard!$A$6)), A227:A1000, "")
</f>
        <v/>
      </c>
    </row>
    <row r="228">
      <c r="B228" s="85"/>
      <c r="C228" s="85"/>
      <c r="E228" s="81" t="str">
        <f t="shared" si="1"/>
        <v/>
      </c>
      <c r="F228" s="84"/>
      <c r="G228" s="85"/>
      <c r="H228" s="85"/>
      <c r="L228" s="86"/>
      <c r="Q228" s="91"/>
      <c r="R228" s="87" t="str">
        <f>IF(LOWER(TRIM($Q228)) = LOWER(TRIM(Dashboard!$A$6)), B228, "")
</f>
        <v/>
      </c>
      <c r="S228" s="87" t="str">
        <f>IF(LOWER(TRIM($Q228)) = LOWER(TRIM(Dashboard!$A$6)), C228, "")
</f>
        <v/>
      </c>
      <c r="T228" s="91" t="str">
        <f>IF(LOWER(TRIM(TEXT($Q228, "mmmm yyyy"))) = LOWER(TRIM(Dashboard!$A$6)), A228:A1000, "")
</f>
        <v/>
      </c>
    </row>
    <row r="229">
      <c r="B229" s="85"/>
      <c r="C229" s="85"/>
      <c r="E229" s="81" t="str">
        <f t="shared" si="1"/>
        <v/>
      </c>
      <c r="F229" s="84"/>
      <c r="G229" s="85"/>
      <c r="H229" s="85"/>
      <c r="L229" s="86"/>
      <c r="Q229" s="91"/>
      <c r="R229" s="87" t="str">
        <f>IF(LOWER(TRIM($Q229)) = LOWER(TRIM(Dashboard!$A$6)), B229, "")
</f>
        <v/>
      </c>
      <c r="S229" s="87" t="str">
        <f>IF(LOWER(TRIM($Q229)) = LOWER(TRIM(Dashboard!$A$6)), C229, "")
</f>
        <v/>
      </c>
      <c r="T229" s="91" t="str">
        <f>IF(LOWER(TRIM(TEXT($Q229, "mmmm yyyy"))) = LOWER(TRIM(Dashboard!$A$6)), A229:A1000, "")
</f>
        <v/>
      </c>
    </row>
    <row r="230">
      <c r="B230" s="85"/>
      <c r="C230" s="85"/>
      <c r="E230" s="81" t="str">
        <f t="shared" si="1"/>
        <v/>
      </c>
      <c r="F230" s="84"/>
      <c r="G230" s="85"/>
      <c r="H230" s="85"/>
      <c r="L230" s="86"/>
      <c r="Q230" s="91"/>
      <c r="R230" s="87" t="str">
        <f>IF(LOWER(TRIM($Q230)) = LOWER(TRIM(Dashboard!$A$6)), B230, "")
</f>
        <v/>
      </c>
      <c r="S230" s="87" t="str">
        <f>IF(LOWER(TRIM($Q230)) = LOWER(TRIM(Dashboard!$A$6)), C230, "")
</f>
        <v/>
      </c>
      <c r="T230" s="91" t="str">
        <f>IF(LOWER(TRIM(TEXT($Q230, "mmmm yyyy"))) = LOWER(TRIM(Dashboard!$A$6)), A230:A1000, "")
</f>
        <v/>
      </c>
    </row>
    <row r="231">
      <c r="B231" s="85"/>
      <c r="C231" s="85"/>
      <c r="E231" s="81" t="str">
        <f t="shared" si="1"/>
        <v/>
      </c>
      <c r="F231" s="84"/>
      <c r="G231" s="85"/>
      <c r="H231" s="85"/>
      <c r="L231" s="86"/>
      <c r="Q231" s="91"/>
      <c r="R231" s="87" t="str">
        <f>IF(LOWER(TRIM($Q231)) = LOWER(TRIM(Dashboard!$A$6)), B231, "")
</f>
        <v/>
      </c>
      <c r="S231" s="87" t="str">
        <f>IF(LOWER(TRIM($Q231)) = LOWER(TRIM(Dashboard!$A$6)), C231, "")
</f>
        <v/>
      </c>
      <c r="T231" s="91" t="str">
        <f>IF(LOWER(TRIM(TEXT($Q231, "mmmm yyyy"))) = LOWER(TRIM(Dashboard!$A$6)), A231:A1000, "")
</f>
        <v/>
      </c>
    </row>
    <row r="232">
      <c r="B232" s="85"/>
      <c r="C232" s="85"/>
      <c r="E232" s="81" t="str">
        <f t="shared" si="1"/>
        <v/>
      </c>
      <c r="F232" s="84"/>
      <c r="G232" s="85"/>
      <c r="H232" s="85"/>
      <c r="L232" s="86"/>
      <c r="Q232" s="91"/>
      <c r="R232" s="87" t="str">
        <f>IF(LOWER(TRIM($Q232)) = LOWER(TRIM(Dashboard!$A$6)), B232, "")
</f>
        <v/>
      </c>
      <c r="S232" s="87" t="str">
        <f>IF(LOWER(TRIM($Q232)) = LOWER(TRIM(Dashboard!$A$6)), C232, "")
</f>
        <v/>
      </c>
      <c r="T232" s="91" t="str">
        <f>IF(LOWER(TRIM(TEXT($Q232, "mmmm yyyy"))) = LOWER(TRIM(Dashboard!$A$6)), A232:A1000, "")
</f>
        <v/>
      </c>
    </row>
    <row r="233">
      <c r="B233" s="85"/>
      <c r="C233" s="85"/>
      <c r="E233" s="81" t="str">
        <f t="shared" si="1"/>
        <v/>
      </c>
      <c r="F233" s="84"/>
      <c r="G233" s="85"/>
      <c r="H233" s="85"/>
      <c r="L233" s="86"/>
      <c r="Q233" s="91"/>
      <c r="R233" s="87" t="str">
        <f>IF(LOWER(TRIM($Q233)) = LOWER(TRIM(Dashboard!$A$6)), B233, "")
</f>
        <v/>
      </c>
      <c r="S233" s="87" t="str">
        <f>IF(LOWER(TRIM($Q233)) = LOWER(TRIM(Dashboard!$A$6)), C233, "")
</f>
        <v/>
      </c>
      <c r="T233" s="91" t="str">
        <f>IF(LOWER(TRIM(TEXT($Q233, "mmmm yyyy"))) = LOWER(TRIM(Dashboard!$A$6)), A233:A1000, "")
</f>
        <v/>
      </c>
    </row>
    <row r="234">
      <c r="B234" s="85"/>
      <c r="C234" s="85"/>
      <c r="E234" s="81" t="str">
        <f t="shared" si="1"/>
        <v/>
      </c>
      <c r="F234" s="84"/>
      <c r="G234" s="85"/>
      <c r="H234" s="85"/>
      <c r="L234" s="86"/>
      <c r="Q234" s="91"/>
      <c r="R234" s="87" t="str">
        <f>IF(LOWER(TRIM($Q234)) = LOWER(TRIM(Dashboard!$A$6)), B234, "")
</f>
        <v/>
      </c>
      <c r="S234" s="87" t="str">
        <f>IF(LOWER(TRIM($Q234)) = LOWER(TRIM(Dashboard!$A$6)), C234, "")
</f>
        <v/>
      </c>
      <c r="T234" s="91" t="str">
        <f>IF(LOWER(TRIM(TEXT($Q234, "mmmm yyyy"))) = LOWER(TRIM(Dashboard!$A$6)), A234:A1000, "")
</f>
        <v/>
      </c>
    </row>
    <row r="235">
      <c r="B235" s="85"/>
      <c r="C235" s="85"/>
      <c r="E235" s="81" t="str">
        <f t="shared" si="1"/>
        <v/>
      </c>
      <c r="F235" s="84"/>
      <c r="G235" s="85"/>
      <c r="H235" s="85"/>
      <c r="L235" s="86"/>
      <c r="Q235" s="91"/>
      <c r="R235" s="87" t="str">
        <f>IF(LOWER(TRIM($Q235)) = LOWER(TRIM(Dashboard!$A$6)), B235, "")
</f>
        <v/>
      </c>
      <c r="S235" s="87" t="str">
        <f>IF(LOWER(TRIM($Q235)) = LOWER(TRIM(Dashboard!$A$6)), C235, "")
</f>
        <v/>
      </c>
      <c r="T235" s="91" t="str">
        <f>IF(LOWER(TRIM(TEXT($Q235, "mmmm yyyy"))) = LOWER(TRIM(Dashboard!$A$6)), A235:A1000, "")
</f>
        <v/>
      </c>
    </row>
    <row r="236">
      <c r="B236" s="85"/>
      <c r="C236" s="85"/>
      <c r="E236" s="81" t="str">
        <f t="shared" si="1"/>
        <v/>
      </c>
      <c r="F236" s="84"/>
      <c r="G236" s="85"/>
      <c r="H236" s="85"/>
      <c r="L236" s="86"/>
      <c r="Q236" s="91"/>
      <c r="R236" s="87" t="str">
        <f>IF(LOWER(TRIM($Q236)) = LOWER(TRIM(Dashboard!$A$6)), B236, "")
</f>
        <v/>
      </c>
      <c r="S236" s="87" t="str">
        <f>IF(LOWER(TRIM($Q236)) = LOWER(TRIM(Dashboard!$A$6)), C236, "")
</f>
        <v/>
      </c>
      <c r="T236" s="91" t="str">
        <f>IF(LOWER(TRIM(TEXT($Q236, "mmmm yyyy"))) = LOWER(TRIM(Dashboard!$A$6)), A236:A1000, "")
</f>
        <v/>
      </c>
    </row>
    <row r="237">
      <c r="B237" s="85"/>
      <c r="C237" s="85"/>
      <c r="E237" s="81" t="str">
        <f t="shared" si="1"/>
        <v/>
      </c>
      <c r="F237" s="84"/>
      <c r="G237" s="85"/>
      <c r="H237" s="85"/>
      <c r="L237" s="86"/>
      <c r="Q237" s="91"/>
      <c r="R237" s="87" t="str">
        <f>IF(LOWER(TRIM($Q237)) = LOWER(TRIM(Dashboard!$A$6)), B237, "")
</f>
        <v/>
      </c>
      <c r="S237" s="87" t="str">
        <f>IF(LOWER(TRIM($Q237)) = LOWER(TRIM(Dashboard!$A$6)), C237, "")
</f>
        <v/>
      </c>
      <c r="T237" s="91" t="str">
        <f>IF(LOWER(TRIM(TEXT($Q237, "mmmm yyyy"))) = LOWER(TRIM(Dashboard!$A$6)), A237:A1000, "")
</f>
        <v/>
      </c>
    </row>
    <row r="238">
      <c r="B238" s="85"/>
      <c r="C238" s="85"/>
      <c r="E238" s="81" t="str">
        <f t="shared" si="1"/>
        <v/>
      </c>
      <c r="F238" s="84"/>
      <c r="G238" s="85"/>
      <c r="H238" s="85"/>
      <c r="L238" s="86"/>
      <c r="Q238" s="91"/>
      <c r="R238" s="87" t="str">
        <f>IF(LOWER(TRIM($Q238)) = LOWER(TRIM(Dashboard!$A$6)), B238, "")
</f>
        <v/>
      </c>
      <c r="S238" s="87" t="str">
        <f>IF(LOWER(TRIM($Q238)) = LOWER(TRIM(Dashboard!$A$6)), C238, "")
</f>
        <v/>
      </c>
      <c r="T238" s="91" t="str">
        <f>IF(LOWER(TRIM(TEXT($Q238, "mmmm yyyy"))) = LOWER(TRIM(Dashboard!$A$6)), A238:A1000, "")
</f>
        <v/>
      </c>
    </row>
    <row r="239">
      <c r="B239" s="85"/>
      <c r="C239" s="85"/>
      <c r="E239" s="81" t="str">
        <f t="shared" si="1"/>
        <v/>
      </c>
      <c r="F239" s="84"/>
      <c r="G239" s="85"/>
      <c r="H239" s="85"/>
      <c r="L239" s="86"/>
      <c r="Q239" s="91"/>
      <c r="R239" s="87" t="str">
        <f>IF(LOWER(TRIM($Q239)) = LOWER(TRIM(Dashboard!$A$6)), B239, "")
</f>
        <v/>
      </c>
      <c r="S239" s="87" t="str">
        <f>IF(LOWER(TRIM($Q239)) = LOWER(TRIM(Dashboard!$A$6)), C239, "")
</f>
        <v/>
      </c>
      <c r="T239" s="91" t="str">
        <f>IF(LOWER(TRIM(TEXT($Q239, "mmmm yyyy"))) = LOWER(TRIM(Dashboard!$A$6)), A239:A1000, "")
</f>
        <v/>
      </c>
    </row>
    <row r="240">
      <c r="B240" s="85"/>
      <c r="C240" s="85"/>
      <c r="E240" s="81" t="str">
        <f t="shared" si="1"/>
        <v/>
      </c>
      <c r="F240" s="84"/>
      <c r="G240" s="85"/>
      <c r="H240" s="85"/>
      <c r="L240" s="86"/>
      <c r="Q240" s="91"/>
      <c r="R240" s="87" t="str">
        <f>IF(LOWER(TRIM($Q240)) = LOWER(TRIM(Dashboard!$A$6)), B240, "")
</f>
        <v/>
      </c>
      <c r="S240" s="87" t="str">
        <f>IF(LOWER(TRIM($Q240)) = LOWER(TRIM(Dashboard!$A$6)), C240, "")
</f>
        <v/>
      </c>
      <c r="T240" s="91" t="str">
        <f>IF(LOWER(TRIM(TEXT($Q240, "mmmm yyyy"))) = LOWER(TRIM(Dashboard!$A$6)), A240:A1000, "")
</f>
        <v/>
      </c>
    </row>
    <row r="241">
      <c r="B241" s="85"/>
      <c r="C241" s="85"/>
      <c r="E241" s="81" t="str">
        <f t="shared" si="1"/>
        <v/>
      </c>
      <c r="F241" s="84"/>
      <c r="G241" s="85"/>
      <c r="H241" s="85"/>
      <c r="L241" s="86"/>
      <c r="Q241" s="91"/>
      <c r="R241" s="87" t="str">
        <f>IF(LOWER(TRIM($Q241)) = LOWER(TRIM(Dashboard!$A$6)), B241, "")
</f>
        <v/>
      </c>
      <c r="S241" s="87" t="str">
        <f>IF(LOWER(TRIM($Q241)) = LOWER(TRIM(Dashboard!$A$6)), C241, "")
</f>
        <v/>
      </c>
      <c r="T241" s="91" t="str">
        <f>IF(LOWER(TRIM(TEXT($Q241, "mmmm yyyy"))) = LOWER(TRIM(Dashboard!$A$6)), A241:A1000, "")
</f>
        <v/>
      </c>
    </row>
    <row r="242">
      <c r="B242" s="85"/>
      <c r="C242" s="85"/>
      <c r="E242" s="81" t="str">
        <f t="shared" si="1"/>
        <v/>
      </c>
      <c r="F242" s="84"/>
      <c r="G242" s="85"/>
      <c r="H242" s="85"/>
      <c r="L242" s="86"/>
      <c r="Q242" s="91"/>
      <c r="R242" s="87" t="str">
        <f>IF(LOWER(TRIM($Q242)) = LOWER(TRIM(Dashboard!$A$6)), B242, "")
</f>
        <v/>
      </c>
      <c r="S242" s="87" t="str">
        <f>IF(LOWER(TRIM($Q242)) = LOWER(TRIM(Dashboard!$A$6)), C242, "")
</f>
        <v/>
      </c>
      <c r="T242" s="91" t="str">
        <f>IF(LOWER(TRIM(TEXT($Q242, "mmmm yyyy"))) = LOWER(TRIM(Dashboard!$A$6)), A242:A1000, "")
</f>
        <v/>
      </c>
    </row>
    <row r="243">
      <c r="B243" s="85"/>
      <c r="C243" s="85"/>
      <c r="E243" s="81" t="str">
        <f t="shared" si="1"/>
        <v/>
      </c>
      <c r="F243" s="84"/>
      <c r="G243" s="85"/>
      <c r="H243" s="85"/>
      <c r="L243" s="86"/>
      <c r="Q243" s="91"/>
      <c r="R243" s="87" t="str">
        <f>IF(LOWER(TRIM($Q243)) = LOWER(TRIM(Dashboard!$A$6)), B243, "")
</f>
        <v/>
      </c>
      <c r="S243" s="87" t="str">
        <f>IF(LOWER(TRIM($Q243)) = LOWER(TRIM(Dashboard!$A$6)), C243, "")
</f>
        <v/>
      </c>
      <c r="T243" s="91" t="str">
        <f>IF(LOWER(TRIM(TEXT($Q243, "mmmm yyyy"))) = LOWER(TRIM(Dashboard!$A$6)), A243:A1000, "")
</f>
        <v/>
      </c>
    </row>
    <row r="244">
      <c r="B244" s="85"/>
      <c r="C244" s="85"/>
      <c r="E244" s="81" t="str">
        <f t="shared" si="1"/>
        <v/>
      </c>
      <c r="F244" s="84"/>
      <c r="G244" s="85"/>
      <c r="H244" s="85"/>
      <c r="L244" s="86"/>
      <c r="Q244" s="91"/>
      <c r="R244" s="87" t="str">
        <f>IF(LOWER(TRIM($Q244)) = LOWER(TRIM(Dashboard!$A$6)), B244, "")
</f>
        <v/>
      </c>
      <c r="S244" s="87" t="str">
        <f>IF(LOWER(TRIM($Q244)) = LOWER(TRIM(Dashboard!$A$6)), C244, "")
</f>
        <v/>
      </c>
      <c r="T244" s="91" t="str">
        <f>IF(LOWER(TRIM(TEXT($Q244, "mmmm yyyy"))) = LOWER(TRIM(Dashboard!$A$6)), A244:A1000, "")
</f>
        <v/>
      </c>
    </row>
    <row r="245">
      <c r="B245" s="85"/>
      <c r="C245" s="85"/>
      <c r="E245" s="81" t="str">
        <f t="shared" si="1"/>
        <v/>
      </c>
      <c r="F245" s="84"/>
      <c r="G245" s="85"/>
      <c r="H245" s="85"/>
      <c r="L245" s="86"/>
      <c r="Q245" s="91"/>
      <c r="R245" s="87" t="str">
        <f>IF(LOWER(TRIM($Q245)) = LOWER(TRIM(Dashboard!$A$6)), B245, "")
</f>
        <v/>
      </c>
      <c r="S245" s="87" t="str">
        <f>IF(LOWER(TRIM($Q245)) = LOWER(TRIM(Dashboard!$A$6)), C245, "")
</f>
        <v/>
      </c>
      <c r="T245" s="91" t="str">
        <f>IF(LOWER(TRIM(TEXT($Q245, "mmmm yyyy"))) = LOWER(TRIM(Dashboard!$A$6)), A245:A1000, "")
</f>
        <v/>
      </c>
    </row>
    <row r="246">
      <c r="B246" s="85"/>
      <c r="C246" s="85"/>
      <c r="E246" s="81" t="str">
        <f t="shared" si="1"/>
        <v/>
      </c>
      <c r="F246" s="84"/>
      <c r="G246" s="85"/>
      <c r="H246" s="85"/>
      <c r="L246" s="86"/>
      <c r="Q246" s="91"/>
      <c r="R246" s="87" t="str">
        <f>IF(LOWER(TRIM($Q246)) = LOWER(TRIM(Dashboard!$A$6)), B246, "")
</f>
        <v/>
      </c>
      <c r="S246" s="87" t="str">
        <f>IF(LOWER(TRIM($Q246)) = LOWER(TRIM(Dashboard!$A$6)), C246, "")
</f>
        <v/>
      </c>
      <c r="T246" s="91" t="str">
        <f>IF(LOWER(TRIM(TEXT($Q246, "mmmm yyyy"))) = LOWER(TRIM(Dashboard!$A$6)), A246:A1000, "")
</f>
        <v/>
      </c>
    </row>
    <row r="247">
      <c r="B247" s="85"/>
      <c r="C247" s="85"/>
      <c r="E247" s="81" t="str">
        <f t="shared" si="1"/>
        <v/>
      </c>
      <c r="F247" s="84"/>
      <c r="G247" s="85"/>
      <c r="H247" s="85"/>
      <c r="L247" s="86"/>
      <c r="Q247" s="91"/>
      <c r="R247" s="87" t="str">
        <f>IF(LOWER(TRIM($Q247)) = LOWER(TRIM(Dashboard!$A$6)), B247, "")
</f>
        <v/>
      </c>
      <c r="S247" s="87" t="str">
        <f>IF(LOWER(TRIM($Q247)) = LOWER(TRIM(Dashboard!$A$6)), C247, "")
</f>
        <v/>
      </c>
      <c r="T247" s="91" t="str">
        <f>IF(LOWER(TRIM(TEXT($Q247, "mmmm yyyy"))) = LOWER(TRIM(Dashboard!$A$6)), A247:A1000, "")
</f>
        <v/>
      </c>
    </row>
    <row r="248">
      <c r="B248" s="85"/>
      <c r="C248" s="85"/>
      <c r="E248" s="81" t="str">
        <f t="shared" si="1"/>
        <v/>
      </c>
      <c r="F248" s="84"/>
      <c r="G248" s="85"/>
      <c r="H248" s="85"/>
      <c r="L248" s="86"/>
      <c r="Q248" s="91"/>
      <c r="R248" s="87" t="str">
        <f>IF(LOWER(TRIM($Q248)) = LOWER(TRIM(Dashboard!$A$6)), B248, "")
</f>
        <v/>
      </c>
      <c r="S248" s="87" t="str">
        <f>IF(LOWER(TRIM($Q248)) = LOWER(TRIM(Dashboard!$A$6)), C248, "")
</f>
        <v/>
      </c>
      <c r="T248" s="91" t="str">
        <f>IF(LOWER(TRIM(TEXT($Q248, "mmmm yyyy"))) = LOWER(TRIM(Dashboard!$A$6)), A248:A1000, "")
</f>
        <v/>
      </c>
    </row>
    <row r="249">
      <c r="B249" s="85"/>
      <c r="C249" s="85"/>
      <c r="E249" s="81" t="str">
        <f t="shared" si="1"/>
        <v/>
      </c>
      <c r="F249" s="84"/>
      <c r="G249" s="85"/>
      <c r="H249" s="85"/>
      <c r="L249" s="86"/>
      <c r="Q249" s="91"/>
      <c r="R249" s="87" t="str">
        <f>IF(LOWER(TRIM($Q249)) = LOWER(TRIM(Dashboard!$A$6)), B249, "")
</f>
        <v/>
      </c>
      <c r="S249" s="87" t="str">
        <f>IF(LOWER(TRIM($Q249)) = LOWER(TRIM(Dashboard!$A$6)), C249, "")
</f>
        <v/>
      </c>
      <c r="T249" s="91" t="str">
        <f>IF(LOWER(TRIM(TEXT($Q249, "mmmm yyyy"))) = LOWER(TRIM(Dashboard!$A$6)), A249:A1000, "")
</f>
        <v/>
      </c>
    </row>
    <row r="250">
      <c r="B250" s="85"/>
      <c r="C250" s="85"/>
      <c r="E250" s="81" t="str">
        <f t="shared" si="1"/>
        <v/>
      </c>
      <c r="F250" s="84"/>
      <c r="G250" s="85"/>
      <c r="H250" s="85"/>
      <c r="L250" s="86"/>
      <c r="Q250" s="91"/>
      <c r="R250" s="87" t="str">
        <f>IF(LOWER(TRIM($Q250)) = LOWER(TRIM(Dashboard!$A$6)), B250, "")
</f>
        <v/>
      </c>
      <c r="S250" s="87" t="str">
        <f>IF(LOWER(TRIM($Q250)) = LOWER(TRIM(Dashboard!$A$6)), C250, "")
</f>
        <v/>
      </c>
      <c r="T250" s="91" t="str">
        <f>IF(LOWER(TRIM(TEXT($Q250, "mmmm yyyy"))) = LOWER(TRIM(Dashboard!$A$6)), A250:A1000, "")
</f>
        <v/>
      </c>
    </row>
    <row r="251">
      <c r="B251" s="85"/>
      <c r="C251" s="85"/>
      <c r="E251" s="81" t="str">
        <f t="shared" si="1"/>
        <v/>
      </c>
      <c r="F251" s="84"/>
      <c r="G251" s="85"/>
      <c r="H251" s="85"/>
      <c r="L251" s="86"/>
      <c r="Q251" s="91"/>
      <c r="R251" s="87" t="str">
        <f>IF(LOWER(TRIM($Q251)) = LOWER(TRIM(Dashboard!$A$6)), B251, "")
</f>
        <v/>
      </c>
      <c r="S251" s="87" t="str">
        <f>IF(LOWER(TRIM($Q251)) = LOWER(TRIM(Dashboard!$A$6)), C251, "")
</f>
        <v/>
      </c>
      <c r="T251" s="91" t="str">
        <f>IF(LOWER(TRIM(TEXT($Q251, "mmmm yyyy"))) = LOWER(TRIM(Dashboard!$A$6)), A251:A1000, "")
</f>
        <v/>
      </c>
    </row>
    <row r="252">
      <c r="B252" s="85"/>
      <c r="C252" s="85"/>
      <c r="E252" s="81" t="str">
        <f t="shared" si="1"/>
        <v/>
      </c>
      <c r="F252" s="84"/>
      <c r="G252" s="85"/>
      <c r="H252" s="85"/>
      <c r="L252" s="86"/>
      <c r="Q252" s="91"/>
      <c r="R252" s="87" t="str">
        <f>IF(LOWER(TRIM($Q252)) = LOWER(TRIM(Dashboard!$A$6)), B252, "")
</f>
        <v/>
      </c>
      <c r="S252" s="87" t="str">
        <f>IF(LOWER(TRIM($Q252)) = LOWER(TRIM(Dashboard!$A$6)), C252, "")
</f>
        <v/>
      </c>
      <c r="T252" s="91" t="str">
        <f>IF(LOWER(TRIM(TEXT($Q252, "mmmm yyyy"))) = LOWER(TRIM(Dashboard!$A$6)), A252:A1000, "")
</f>
        <v/>
      </c>
    </row>
    <row r="253">
      <c r="B253" s="85"/>
      <c r="C253" s="85"/>
      <c r="E253" s="81" t="str">
        <f t="shared" si="1"/>
        <v/>
      </c>
      <c r="F253" s="84"/>
      <c r="G253" s="85"/>
      <c r="H253" s="85"/>
      <c r="L253" s="86"/>
      <c r="Q253" s="91"/>
      <c r="R253" s="87" t="str">
        <f>IF(LOWER(TRIM($Q253)) = LOWER(TRIM(Dashboard!$A$6)), B253, "")
</f>
        <v/>
      </c>
      <c r="S253" s="87" t="str">
        <f>IF(LOWER(TRIM($Q253)) = LOWER(TRIM(Dashboard!$A$6)), C253, "")
</f>
        <v/>
      </c>
      <c r="T253" s="91" t="str">
        <f>IF(LOWER(TRIM(TEXT($Q253, "mmmm yyyy"))) = LOWER(TRIM(Dashboard!$A$6)), A253:A1000, "")
</f>
        <v/>
      </c>
    </row>
    <row r="254">
      <c r="B254" s="85"/>
      <c r="C254" s="85"/>
      <c r="E254" s="81" t="str">
        <f t="shared" si="1"/>
        <v/>
      </c>
      <c r="F254" s="84"/>
      <c r="G254" s="85"/>
      <c r="H254" s="85"/>
      <c r="L254" s="86"/>
      <c r="Q254" s="91"/>
      <c r="R254" s="87" t="str">
        <f>IF(LOWER(TRIM($Q254)) = LOWER(TRIM(Dashboard!$A$6)), B254, "")
</f>
        <v/>
      </c>
      <c r="S254" s="87" t="str">
        <f>IF(LOWER(TRIM($Q254)) = LOWER(TRIM(Dashboard!$A$6)), C254, "")
</f>
        <v/>
      </c>
      <c r="T254" s="91" t="str">
        <f>IF(LOWER(TRIM(TEXT($Q254, "mmmm yyyy"))) = LOWER(TRIM(Dashboard!$A$6)), A254:A1000, "")
</f>
        <v/>
      </c>
    </row>
    <row r="255">
      <c r="B255" s="85"/>
      <c r="C255" s="85"/>
      <c r="E255" s="81" t="str">
        <f t="shared" si="1"/>
        <v/>
      </c>
      <c r="F255" s="84"/>
      <c r="G255" s="85"/>
      <c r="H255" s="85"/>
      <c r="L255" s="86"/>
      <c r="Q255" s="91"/>
      <c r="R255" s="87" t="str">
        <f>IF(LOWER(TRIM($Q255)) = LOWER(TRIM(Dashboard!$A$6)), B255, "")
</f>
        <v/>
      </c>
      <c r="S255" s="87" t="str">
        <f>IF(LOWER(TRIM($Q255)) = LOWER(TRIM(Dashboard!$A$6)), C255, "")
</f>
        <v/>
      </c>
      <c r="T255" s="91" t="str">
        <f>IF(LOWER(TRIM(TEXT($Q255, "mmmm yyyy"))) = LOWER(TRIM(Dashboard!$A$6)), A255:A1000, "")
</f>
        <v/>
      </c>
    </row>
    <row r="256">
      <c r="B256" s="85"/>
      <c r="C256" s="85"/>
      <c r="E256" s="81" t="str">
        <f t="shared" si="1"/>
        <v/>
      </c>
      <c r="F256" s="84"/>
      <c r="G256" s="85"/>
      <c r="H256" s="85"/>
      <c r="L256" s="86"/>
      <c r="Q256" s="91"/>
      <c r="R256" s="87" t="str">
        <f>IF(LOWER(TRIM($Q256)) = LOWER(TRIM(Dashboard!$A$6)), B256, "")
</f>
        <v/>
      </c>
      <c r="S256" s="87" t="str">
        <f>IF(LOWER(TRIM($Q256)) = LOWER(TRIM(Dashboard!$A$6)), C256, "")
</f>
        <v/>
      </c>
      <c r="T256" s="91" t="str">
        <f>IF(LOWER(TRIM(TEXT($Q256, "mmmm yyyy"))) = LOWER(TRIM(Dashboard!$A$6)), A256:A1000, "")
</f>
        <v/>
      </c>
    </row>
    <row r="257">
      <c r="B257" s="85"/>
      <c r="C257" s="85"/>
      <c r="E257" s="81" t="str">
        <f t="shared" si="1"/>
        <v/>
      </c>
      <c r="F257" s="84"/>
      <c r="G257" s="85"/>
      <c r="H257" s="85"/>
      <c r="L257" s="86"/>
      <c r="Q257" s="91"/>
      <c r="R257" s="87" t="str">
        <f>IF(LOWER(TRIM($Q257)) = LOWER(TRIM(Dashboard!$A$6)), B257, "")
</f>
        <v/>
      </c>
      <c r="S257" s="87" t="str">
        <f>IF(LOWER(TRIM($Q257)) = LOWER(TRIM(Dashboard!$A$6)), C257, "")
</f>
        <v/>
      </c>
      <c r="T257" s="91" t="str">
        <f>IF(LOWER(TRIM(TEXT($Q257, "mmmm yyyy"))) = LOWER(TRIM(Dashboard!$A$6)), A257:A1000, "")
</f>
        <v/>
      </c>
    </row>
    <row r="258">
      <c r="B258" s="85"/>
      <c r="C258" s="85"/>
      <c r="E258" s="81" t="str">
        <f t="shared" si="1"/>
        <v/>
      </c>
      <c r="F258" s="84"/>
      <c r="G258" s="85"/>
      <c r="H258" s="85"/>
      <c r="L258" s="86"/>
      <c r="Q258" s="91"/>
      <c r="R258" s="87" t="str">
        <f>IF(LOWER(TRIM($Q258)) = LOWER(TRIM(Dashboard!$A$6)), B258, "")
</f>
        <v/>
      </c>
      <c r="S258" s="87" t="str">
        <f>IF(LOWER(TRIM($Q258)) = LOWER(TRIM(Dashboard!$A$6)), C258, "")
</f>
        <v/>
      </c>
      <c r="T258" s="91" t="str">
        <f>IF(LOWER(TRIM(TEXT($Q258, "mmmm yyyy"))) = LOWER(TRIM(Dashboard!$A$6)), A258:A1000, "")
</f>
        <v/>
      </c>
    </row>
    <row r="259">
      <c r="B259" s="85"/>
      <c r="C259" s="85"/>
      <c r="E259" s="81" t="str">
        <f t="shared" si="1"/>
        <v/>
      </c>
      <c r="F259" s="84"/>
      <c r="G259" s="85"/>
      <c r="H259" s="85"/>
      <c r="L259" s="86"/>
      <c r="Q259" s="91"/>
      <c r="R259" s="87" t="str">
        <f>IF(LOWER(TRIM($Q259)) = LOWER(TRIM(Dashboard!$A$6)), B259, "")
</f>
        <v/>
      </c>
      <c r="S259" s="87" t="str">
        <f>IF(LOWER(TRIM($Q259)) = LOWER(TRIM(Dashboard!$A$6)), C259, "")
</f>
        <v/>
      </c>
      <c r="T259" s="91" t="str">
        <f>IF(LOWER(TRIM(TEXT($Q259, "mmmm yyyy"))) = LOWER(TRIM(Dashboard!$A$6)), A259:A1000, "")
</f>
        <v/>
      </c>
    </row>
    <row r="260">
      <c r="B260" s="85"/>
      <c r="C260" s="85"/>
      <c r="E260" s="81" t="str">
        <f t="shared" si="1"/>
        <v/>
      </c>
      <c r="F260" s="84"/>
      <c r="G260" s="85"/>
      <c r="H260" s="85"/>
      <c r="L260" s="86"/>
      <c r="Q260" s="91"/>
      <c r="R260" s="87" t="str">
        <f>IF(LOWER(TRIM($Q260)) = LOWER(TRIM(Dashboard!$A$6)), B260, "")
</f>
        <v/>
      </c>
      <c r="S260" s="87" t="str">
        <f>IF(LOWER(TRIM($Q260)) = LOWER(TRIM(Dashboard!$A$6)), C260, "")
</f>
        <v/>
      </c>
      <c r="T260" s="91" t="str">
        <f>IF(LOWER(TRIM(TEXT($Q260, "mmmm yyyy"))) = LOWER(TRIM(Dashboard!$A$6)), A260:A1000, "")
</f>
        <v/>
      </c>
    </row>
    <row r="261">
      <c r="B261" s="85"/>
      <c r="C261" s="85"/>
      <c r="E261" s="81" t="str">
        <f t="shared" si="1"/>
        <v/>
      </c>
      <c r="F261" s="84"/>
      <c r="G261" s="85"/>
      <c r="H261" s="85"/>
      <c r="L261" s="86"/>
      <c r="Q261" s="91"/>
      <c r="R261" s="87" t="str">
        <f>IF(LOWER(TRIM($Q261)) = LOWER(TRIM(Dashboard!$A$6)), B261, "")
</f>
        <v/>
      </c>
      <c r="S261" s="87" t="str">
        <f>IF(LOWER(TRIM($Q261)) = LOWER(TRIM(Dashboard!$A$6)), C261, "")
</f>
        <v/>
      </c>
      <c r="T261" s="91" t="str">
        <f>IF(LOWER(TRIM(TEXT($Q261, "mmmm yyyy"))) = LOWER(TRIM(Dashboard!$A$6)), A261:A1000, "")
</f>
        <v/>
      </c>
    </row>
    <row r="262">
      <c r="B262" s="85"/>
      <c r="C262" s="85"/>
      <c r="E262" s="81" t="str">
        <f t="shared" si="1"/>
        <v/>
      </c>
      <c r="F262" s="84"/>
      <c r="G262" s="85"/>
      <c r="H262" s="85"/>
      <c r="L262" s="86"/>
      <c r="Q262" s="91"/>
      <c r="R262" s="87" t="str">
        <f>IF(LOWER(TRIM($Q262)) = LOWER(TRIM(Dashboard!$A$6)), B262, "")
</f>
        <v/>
      </c>
      <c r="S262" s="87" t="str">
        <f>IF(LOWER(TRIM($Q262)) = LOWER(TRIM(Dashboard!$A$6)), C262, "")
</f>
        <v/>
      </c>
      <c r="T262" s="91" t="str">
        <f>IF(LOWER(TRIM(TEXT($Q262, "mmmm yyyy"))) = LOWER(TRIM(Dashboard!$A$6)), A262:A1000, "")
</f>
        <v/>
      </c>
    </row>
    <row r="263">
      <c r="B263" s="85"/>
      <c r="C263" s="85"/>
      <c r="E263" s="81" t="str">
        <f t="shared" si="1"/>
        <v/>
      </c>
      <c r="F263" s="84"/>
      <c r="G263" s="85"/>
      <c r="H263" s="85"/>
      <c r="L263" s="86"/>
      <c r="Q263" s="91"/>
      <c r="R263" s="87" t="str">
        <f>IF(LOWER(TRIM($Q263)) = LOWER(TRIM(Dashboard!$A$6)), B263, "")
</f>
        <v/>
      </c>
      <c r="S263" s="87" t="str">
        <f>IF(LOWER(TRIM($Q263)) = LOWER(TRIM(Dashboard!$A$6)), C263, "")
</f>
        <v/>
      </c>
      <c r="T263" s="91" t="str">
        <f>IF(LOWER(TRIM(TEXT($Q263, "mmmm yyyy"))) = LOWER(TRIM(Dashboard!$A$6)), A263:A1000, "")
</f>
        <v/>
      </c>
    </row>
    <row r="264">
      <c r="B264" s="85"/>
      <c r="C264" s="85"/>
      <c r="E264" s="81" t="str">
        <f t="shared" si="1"/>
        <v/>
      </c>
      <c r="F264" s="84"/>
      <c r="G264" s="85"/>
      <c r="H264" s="85"/>
      <c r="L264" s="86"/>
      <c r="Q264" s="91"/>
      <c r="R264" s="87" t="str">
        <f>IF(LOWER(TRIM($Q264)) = LOWER(TRIM(Dashboard!$A$6)), B264, "")
</f>
        <v/>
      </c>
      <c r="S264" s="87" t="str">
        <f>IF(LOWER(TRIM($Q264)) = LOWER(TRIM(Dashboard!$A$6)), C264, "")
</f>
        <v/>
      </c>
      <c r="T264" s="91" t="str">
        <f>IF(LOWER(TRIM(TEXT($Q264, "mmmm yyyy"))) = LOWER(TRIM(Dashboard!$A$6)), A264:A1000, "")
</f>
        <v/>
      </c>
    </row>
    <row r="265">
      <c r="B265" s="85"/>
      <c r="C265" s="85"/>
      <c r="E265" s="81" t="str">
        <f t="shared" si="1"/>
        <v/>
      </c>
      <c r="F265" s="84"/>
      <c r="G265" s="85"/>
      <c r="H265" s="85"/>
      <c r="L265" s="86"/>
      <c r="Q265" s="91"/>
      <c r="R265" s="87" t="str">
        <f>IF(LOWER(TRIM($Q265)) = LOWER(TRIM(Dashboard!$A$6)), B265, "")
</f>
        <v/>
      </c>
      <c r="S265" s="87" t="str">
        <f>IF(LOWER(TRIM($Q265)) = LOWER(TRIM(Dashboard!$A$6)), C265, "")
</f>
        <v/>
      </c>
      <c r="T265" s="91" t="str">
        <f>IF(LOWER(TRIM(TEXT($Q265, "mmmm yyyy"))) = LOWER(TRIM(Dashboard!$A$6)), A265:A1000, "")
</f>
        <v/>
      </c>
    </row>
    <row r="266">
      <c r="B266" s="85"/>
      <c r="C266" s="85"/>
      <c r="E266" s="81" t="str">
        <f t="shared" si="1"/>
        <v/>
      </c>
      <c r="F266" s="84"/>
      <c r="G266" s="85"/>
      <c r="H266" s="85"/>
      <c r="L266" s="86"/>
      <c r="Q266" s="91"/>
      <c r="R266" s="87" t="str">
        <f>IF(LOWER(TRIM($Q266)) = LOWER(TRIM(Dashboard!$A$6)), B266, "")
</f>
        <v/>
      </c>
      <c r="S266" s="87" t="str">
        <f>IF(LOWER(TRIM($Q266)) = LOWER(TRIM(Dashboard!$A$6)), C266, "")
</f>
        <v/>
      </c>
      <c r="T266" s="91" t="str">
        <f>IF(LOWER(TRIM(TEXT($Q266, "mmmm yyyy"))) = LOWER(TRIM(Dashboard!$A$6)), A266:A1000, "")
</f>
        <v/>
      </c>
    </row>
    <row r="267">
      <c r="B267" s="85"/>
      <c r="C267" s="85"/>
      <c r="E267" s="81" t="str">
        <f t="shared" si="1"/>
        <v/>
      </c>
      <c r="F267" s="84"/>
      <c r="G267" s="85"/>
      <c r="H267" s="85"/>
      <c r="L267" s="86"/>
      <c r="Q267" s="91"/>
      <c r="R267" s="87" t="str">
        <f>IF(LOWER(TRIM($Q267)) = LOWER(TRIM(Dashboard!$A$6)), B267, "")
</f>
        <v/>
      </c>
      <c r="S267" s="87" t="str">
        <f>IF(LOWER(TRIM($Q267)) = LOWER(TRIM(Dashboard!$A$6)), C267, "")
</f>
        <v/>
      </c>
      <c r="T267" s="91" t="str">
        <f>IF(LOWER(TRIM(TEXT($Q267, "mmmm yyyy"))) = LOWER(TRIM(Dashboard!$A$6)), A267:A1000, "")
</f>
        <v/>
      </c>
    </row>
    <row r="268">
      <c r="B268" s="85"/>
      <c r="C268" s="85"/>
      <c r="E268" s="81" t="str">
        <f t="shared" si="1"/>
        <v/>
      </c>
      <c r="F268" s="84"/>
      <c r="G268" s="85"/>
      <c r="H268" s="85"/>
      <c r="L268" s="86"/>
      <c r="Q268" s="91"/>
      <c r="R268" s="87" t="str">
        <f>IF(LOWER(TRIM($Q268)) = LOWER(TRIM(Dashboard!$A$6)), B268, "")
</f>
        <v/>
      </c>
      <c r="S268" s="87" t="str">
        <f>IF(LOWER(TRIM($Q268)) = LOWER(TRIM(Dashboard!$A$6)), C268, "")
</f>
        <v/>
      </c>
      <c r="T268" s="91" t="str">
        <f>IF(LOWER(TRIM(TEXT($Q268, "mmmm yyyy"))) = LOWER(TRIM(Dashboard!$A$6)), A268:A1000, "")
</f>
        <v/>
      </c>
    </row>
    <row r="269">
      <c r="B269" s="85"/>
      <c r="C269" s="85"/>
      <c r="E269" s="81" t="str">
        <f t="shared" si="1"/>
        <v/>
      </c>
      <c r="F269" s="84"/>
      <c r="G269" s="85"/>
      <c r="H269" s="85"/>
      <c r="L269" s="86"/>
      <c r="Q269" s="91"/>
      <c r="R269" s="87" t="str">
        <f>IF(LOWER(TRIM($Q269)) = LOWER(TRIM(Dashboard!$A$6)), B269, "")
</f>
        <v/>
      </c>
      <c r="S269" s="87" t="str">
        <f>IF(LOWER(TRIM($Q269)) = LOWER(TRIM(Dashboard!$A$6)), C269, "")
</f>
        <v/>
      </c>
      <c r="T269" s="91" t="str">
        <f>IF(LOWER(TRIM(TEXT($Q269, "mmmm yyyy"))) = LOWER(TRIM(Dashboard!$A$6)), A269:A1000, "")
</f>
        <v/>
      </c>
    </row>
    <row r="270">
      <c r="B270" s="85"/>
      <c r="C270" s="85"/>
      <c r="E270" s="81" t="str">
        <f t="shared" si="1"/>
        <v/>
      </c>
      <c r="F270" s="84"/>
      <c r="G270" s="85"/>
      <c r="H270" s="85"/>
      <c r="L270" s="86"/>
      <c r="Q270" s="91"/>
      <c r="R270" s="87" t="str">
        <f>IF(LOWER(TRIM($Q270)) = LOWER(TRIM(Dashboard!$A$6)), B270, "")
</f>
        <v/>
      </c>
      <c r="S270" s="87" t="str">
        <f>IF(LOWER(TRIM($Q270)) = LOWER(TRIM(Dashboard!$A$6)), C270, "")
</f>
        <v/>
      </c>
      <c r="T270" s="91" t="str">
        <f>IF(LOWER(TRIM(TEXT($Q270, "mmmm yyyy"))) = LOWER(TRIM(Dashboard!$A$6)), A270:A1000, "")
</f>
        <v/>
      </c>
    </row>
    <row r="271">
      <c r="B271" s="85"/>
      <c r="C271" s="85"/>
      <c r="E271" s="81" t="str">
        <f t="shared" si="1"/>
        <v/>
      </c>
      <c r="F271" s="84"/>
      <c r="G271" s="85"/>
      <c r="H271" s="85"/>
      <c r="L271" s="86"/>
      <c r="Q271" s="91"/>
      <c r="R271" s="87" t="str">
        <f>IF(LOWER(TRIM($Q271)) = LOWER(TRIM(Dashboard!$A$6)), B271, "")
</f>
        <v/>
      </c>
      <c r="S271" s="87" t="str">
        <f>IF(LOWER(TRIM($Q271)) = LOWER(TRIM(Dashboard!$A$6)), C271, "")
</f>
        <v/>
      </c>
      <c r="T271" s="91" t="str">
        <f>IF(LOWER(TRIM(TEXT($Q271, "mmmm yyyy"))) = LOWER(TRIM(Dashboard!$A$6)), A271:A1000, "")
</f>
        <v/>
      </c>
    </row>
    <row r="272">
      <c r="B272" s="85"/>
      <c r="C272" s="85"/>
      <c r="E272" s="81" t="str">
        <f t="shared" si="1"/>
        <v/>
      </c>
      <c r="F272" s="84"/>
      <c r="G272" s="85"/>
      <c r="H272" s="85"/>
      <c r="L272" s="86"/>
      <c r="Q272" s="91"/>
      <c r="R272" s="87" t="str">
        <f>IF(LOWER(TRIM($Q272)) = LOWER(TRIM(Dashboard!$A$6)), B272, "")
</f>
        <v/>
      </c>
      <c r="S272" s="87" t="str">
        <f>IF(LOWER(TRIM($Q272)) = LOWER(TRIM(Dashboard!$A$6)), C272, "")
</f>
        <v/>
      </c>
      <c r="T272" s="91" t="str">
        <f>IF(LOWER(TRIM(TEXT($Q272, "mmmm yyyy"))) = LOWER(TRIM(Dashboard!$A$6)), A272:A1000, "")
</f>
        <v/>
      </c>
    </row>
    <row r="273">
      <c r="B273" s="85"/>
      <c r="C273" s="85"/>
      <c r="E273" s="81" t="str">
        <f t="shared" si="1"/>
        <v/>
      </c>
      <c r="F273" s="84"/>
      <c r="G273" s="85"/>
      <c r="H273" s="85"/>
      <c r="L273" s="86"/>
      <c r="Q273" s="91"/>
      <c r="R273" s="87" t="str">
        <f>IF(LOWER(TRIM($Q273)) = LOWER(TRIM(Dashboard!$A$6)), B273, "")
</f>
        <v/>
      </c>
      <c r="S273" s="87" t="str">
        <f>IF(LOWER(TRIM($Q273)) = LOWER(TRIM(Dashboard!$A$6)), C273, "")
</f>
        <v/>
      </c>
      <c r="T273" s="91" t="str">
        <f>IF(LOWER(TRIM(TEXT($Q273, "mmmm yyyy"))) = LOWER(TRIM(Dashboard!$A$6)), A273:A1000, "")
</f>
        <v/>
      </c>
    </row>
    <row r="274">
      <c r="B274" s="85"/>
      <c r="C274" s="85"/>
      <c r="E274" s="81" t="str">
        <f t="shared" si="1"/>
        <v/>
      </c>
      <c r="F274" s="84"/>
      <c r="G274" s="85"/>
      <c r="H274" s="85"/>
      <c r="L274" s="86"/>
      <c r="Q274" s="91"/>
      <c r="R274" s="87" t="str">
        <f>IF(LOWER(TRIM($Q274)) = LOWER(TRIM(Dashboard!$A$6)), B274, "")
</f>
        <v/>
      </c>
      <c r="S274" s="87" t="str">
        <f>IF(LOWER(TRIM($Q274)) = LOWER(TRIM(Dashboard!$A$6)), C274, "")
</f>
        <v/>
      </c>
      <c r="T274" s="91" t="str">
        <f>IF(LOWER(TRIM(TEXT($Q274, "mmmm yyyy"))) = LOWER(TRIM(Dashboard!$A$6)), A274:A1000, "")
</f>
        <v/>
      </c>
    </row>
    <row r="275">
      <c r="B275" s="85"/>
      <c r="C275" s="85"/>
      <c r="E275" s="81" t="str">
        <f t="shared" si="1"/>
        <v/>
      </c>
      <c r="F275" s="84"/>
      <c r="G275" s="85"/>
      <c r="H275" s="85"/>
      <c r="L275" s="86"/>
      <c r="Q275" s="91"/>
      <c r="R275" s="87" t="str">
        <f>IF(LOWER(TRIM($Q275)) = LOWER(TRIM(Dashboard!$A$6)), B275, "")
</f>
        <v/>
      </c>
      <c r="S275" s="87" t="str">
        <f>IF(LOWER(TRIM($Q275)) = LOWER(TRIM(Dashboard!$A$6)), C275, "")
</f>
        <v/>
      </c>
      <c r="T275" s="91" t="str">
        <f>IF(LOWER(TRIM(TEXT($Q275, "mmmm yyyy"))) = LOWER(TRIM(Dashboard!$A$6)), A275:A1000, "")
</f>
        <v/>
      </c>
    </row>
    <row r="276">
      <c r="B276" s="85"/>
      <c r="C276" s="85"/>
      <c r="E276" s="81" t="str">
        <f t="shared" si="1"/>
        <v/>
      </c>
      <c r="F276" s="84"/>
      <c r="G276" s="85"/>
      <c r="H276" s="85"/>
      <c r="L276" s="86"/>
      <c r="Q276" s="91"/>
      <c r="R276" s="87" t="str">
        <f>IF(LOWER(TRIM($Q276)) = LOWER(TRIM(Dashboard!$A$6)), B276, "")
</f>
        <v/>
      </c>
      <c r="S276" s="87" t="str">
        <f>IF(LOWER(TRIM($Q276)) = LOWER(TRIM(Dashboard!$A$6)), C276, "")
</f>
        <v/>
      </c>
      <c r="T276" s="91" t="str">
        <f>IF(LOWER(TRIM(TEXT($Q276, "mmmm yyyy"))) = LOWER(TRIM(Dashboard!$A$6)), A276:A1000, "")
</f>
        <v/>
      </c>
    </row>
    <row r="277">
      <c r="B277" s="85"/>
      <c r="C277" s="85"/>
      <c r="E277" s="81" t="str">
        <f t="shared" si="1"/>
        <v/>
      </c>
      <c r="F277" s="84"/>
      <c r="G277" s="85"/>
      <c r="H277" s="85"/>
      <c r="L277" s="86"/>
      <c r="Q277" s="91"/>
      <c r="R277" s="87" t="str">
        <f>IF(LOWER(TRIM($Q277)) = LOWER(TRIM(Dashboard!$A$6)), B277, "")
</f>
        <v/>
      </c>
      <c r="S277" s="87" t="str">
        <f>IF(LOWER(TRIM($Q277)) = LOWER(TRIM(Dashboard!$A$6)), C277, "")
</f>
        <v/>
      </c>
      <c r="T277" s="91" t="str">
        <f>IF(LOWER(TRIM(TEXT($Q277, "mmmm yyyy"))) = LOWER(TRIM(Dashboard!$A$6)), A277:A1000, "")
</f>
        <v/>
      </c>
    </row>
    <row r="278">
      <c r="B278" s="85"/>
      <c r="C278" s="85"/>
      <c r="E278" s="81" t="str">
        <f t="shared" si="1"/>
        <v/>
      </c>
      <c r="F278" s="84"/>
      <c r="G278" s="85"/>
      <c r="H278" s="85"/>
      <c r="L278" s="86"/>
      <c r="Q278" s="91"/>
      <c r="R278" s="87" t="str">
        <f>IF(LOWER(TRIM($Q278)) = LOWER(TRIM(Dashboard!$A$6)), B278, "")
</f>
        <v/>
      </c>
      <c r="S278" s="87" t="str">
        <f>IF(LOWER(TRIM($Q278)) = LOWER(TRIM(Dashboard!$A$6)), C278, "")
</f>
        <v/>
      </c>
      <c r="T278" s="91" t="str">
        <f>IF(LOWER(TRIM(TEXT($Q278, "mmmm yyyy"))) = LOWER(TRIM(Dashboard!$A$6)), A278:A1000, "")
</f>
        <v/>
      </c>
    </row>
    <row r="279">
      <c r="B279" s="85"/>
      <c r="C279" s="85"/>
      <c r="E279" s="81" t="str">
        <f t="shared" si="1"/>
        <v/>
      </c>
      <c r="F279" s="84"/>
      <c r="G279" s="85"/>
      <c r="H279" s="85"/>
      <c r="L279" s="86"/>
      <c r="Q279" s="91"/>
      <c r="R279" s="87" t="str">
        <f>IF(LOWER(TRIM($Q279)) = LOWER(TRIM(Dashboard!$A$6)), B279, "")
</f>
        <v/>
      </c>
      <c r="S279" s="87" t="str">
        <f>IF(LOWER(TRIM($Q279)) = LOWER(TRIM(Dashboard!$A$6)), C279, "")
</f>
        <v/>
      </c>
      <c r="T279" s="91" t="str">
        <f>IF(LOWER(TRIM(TEXT($Q279, "mmmm yyyy"))) = LOWER(TRIM(Dashboard!$A$6)), A279:A1000, "")
</f>
        <v/>
      </c>
    </row>
    <row r="280">
      <c r="B280" s="85"/>
      <c r="C280" s="85"/>
      <c r="E280" s="81" t="str">
        <f t="shared" si="1"/>
        <v/>
      </c>
      <c r="F280" s="84"/>
      <c r="G280" s="85"/>
      <c r="H280" s="85"/>
      <c r="L280" s="86"/>
      <c r="Q280" s="91"/>
      <c r="R280" s="87" t="str">
        <f>IF(LOWER(TRIM($Q280)) = LOWER(TRIM(Dashboard!$A$6)), B280, "")
</f>
        <v/>
      </c>
      <c r="S280" s="87" t="str">
        <f>IF(LOWER(TRIM($Q280)) = LOWER(TRIM(Dashboard!$A$6)), C280, "")
</f>
        <v/>
      </c>
      <c r="T280" s="91" t="str">
        <f>IF(LOWER(TRIM(TEXT($Q280, "mmmm yyyy"))) = LOWER(TRIM(Dashboard!$A$6)), A280:A1000, "")
</f>
        <v/>
      </c>
    </row>
    <row r="281">
      <c r="B281" s="85"/>
      <c r="C281" s="85"/>
      <c r="E281" s="81" t="str">
        <f t="shared" si="1"/>
        <v/>
      </c>
      <c r="F281" s="84"/>
      <c r="G281" s="85"/>
      <c r="H281" s="85"/>
      <c r="L281" s="86"/>
      <c r="Q281" s="91"/>
      <c r="R281" s="87" t="str">
        <f>IF(LOWER(TRIM($Q281)) = LOWER(TRIM(Dashboard!$A$6)), B281, "")
</f>
        <v/>
      </c>
      <c r="S281" s="87" t="str">
        <f>IF(LOWER(TRIM($Q281)) = LOWER(TRIM(Dashboard!$A$6)), C281, "")
</f>
        <v/>
      </c>
      <c r="T281" s="91" t="str">
        <f>IF(LOWER(TRIM(TEXT($Q281, "mmmm yyyy"))) = LOWER(TRIM(Dashboard!$A$6)), A281:A1000, "")
</f>
        <v/>
      </c>
    </row>
    <row r="282">
      <c r="B282" s="85"/>
      <c r="C282" s="85"/>
      <c r="E282" s="81" t="str">
        <f t="shared" si="1"/>
        <v/>
      </c>
      <c r="F282" s="84"/>
      <c r="G282" s="85"/>
      <c r="H282" s="85"/>
      <c r="L282" s="86"/>
      <c r="Q282" s="91"/>
      <c r="R282" s="87" t="str">
        <f>IF(LOWER(TRIM($Q282)) = LOWER(TRIM(Dashboard!$A$6)), B282, "")
</f>
        <v/>
      </c>
      <c r="S282" s="87" t="str">
        <f>IF(LOWER(TRIM($Q282)) = LOWER(TRIM(Dashboard!$A$6)), C282, "")
</f>
        <v/>
      </c>
      <c r="T282" s="91" t="str">
        <f>IF(LOWER(TRIM(TEXT($Q282, "mmmm yyyy"))) = LOWER(TRIM(Dashboard!$A$6)), A282:A1000, "")
</f>
        <v/>
      </c>
    </row>
    <row r="283">
      <c r="B283" s="85"/>
      <c r="C283" s="85"/>
      <c r="E283" s="81" t="str">
        <f t="shared" si="1"/>
        <v/>
      </c>
      <c r="F283" s="84"/>
      <c r="G283" s="85"/>
      <c r="H283" s="85"/>
      <c r="L283" s="86"/>
      <c r="Q283" s="91"/>
      <c r="R283" s="87" t="str">
        <f>IF(LOWER(TRIM($Q283)) = LOWER(TRIM(Dashboard!$A$6)), B283, "")
</f>
        <v/>
      </c>
      <c r="S283" s="87" t="str">
        <f>IF(LOWER(TRIM($Q283)) = LOWER(TRIM(Dashboard!$A$6)), C283, "")
</f>
        <v/>
      </c>
      <c r="T283" s="91" t="str">
        <f>IF(LOWER(TRIM(TEXT($Q283, "mmmm yyyy"))) = LOWER(TRIM(Dashboard!$A$6)), A283:A1000, "")
</f>
        <v/>
      </c>
    </row>
    <row r="284">
      <c r="B284" s="85"/>
      <c r="C284" s="85"/>
      <c r="E284" s="81" t="str">
        <f t="shared" si="1"/>
        <v/>
      </c>
      <c r="F284" s="84"/>
      <c r="G284" s="85"/>
      <c r="H284" s="85"/>
      <c r="L284" s="86"/>
      <c r="Q284" s="91"/>
      <c r="R284" s="87" t="str">
        <f>IF(LOWER(TRIM($Q284)) = LOWER(TRIM(Dashboard!$A$6)), B284, "")
</f>
        <v/>
      </c>
      <c r="S284" s="87" t="str">
        <f>IF(LOWER(TRIM($Q284)) = LOWER(TRIM(Dashboard!$A$6)), C284, "")
</f>
        <v/>
      </c>
      <c r="T284" s="91" t="str">
        <f>IF(LOWER(TRIM(TEXT($Q284, "mmmm yyyy"))) = LOWER(TRIM(Dashboard!$A$6)), A284:A1000, "")
</f>
        <v/>
      </c>
    </row>
    <row r="285">
      <c r="B285" s="85"/>
      <c r="C285" s="85"/>
      <c r="E285" s="81" t="str">
        <f t="shared" si="1"/>
        <v/>
      </c>
      <c r="F285" s="84"/>
      <c r="G285" s="85"/>
      <c r="H285" s="85"/>
      <c r="L285" s="86"/>
      <c r="Q285" s="91"/>
      <c r="R285" s="87" t="str">
        <f>IF(LOWER(TRIM($Q285)) = LOWER(TRIM(Dashboard!$A$6)), B285, "")
</f>
        <v/>
      </c>
      <c r="S285" s="87" t="str">
        <f>IF(LOWER(TRIM($Q285)) = LOWER(TRIM(Dashboard!$A$6)), C285, "")
</f>
        <v/>
      </c>
      <c r="T285" s="91" t="str">
        <f>IF(LOWER(TRIM(TEXT($Q285, "mmmm yyyy"))) = LOWER(TRIM(Dashboard!$A$6)), A285:A1000, "")
</f>
        <v/>
      </c>
    </row>
    <row r="286">
      <c r="B286" s="85"/>
      <c r="C286" s="85"/>
      <c r="E286" s="81" t="str">
        <f t="shared" si="1"/>
        <v/>
      </c>
      <c r="F286" s="84"/>
      <c r="G286" s="85"/>
      <c r="H286" s="85"/>
      <c r="L286" s="86"/>
      <c r="Q286" s="91"/>
      <c r="R286" s="87" t="str">
        <f>IF(LOWER(TRIM($Q286)) = LOWER(TRIM(Dashboard!$A$6)), B286, "")
</f>
        <v/>
      </c>
      <c r="S286" s="87" t="str">
        <f>IF(LOWER(TRIM($Q286)) = LOWER(TRIM(Dashboard!$A$6)), C286, "")
</f>
        <v/>
      </c>
      <c r="T286" s="91" t="str">
        <f>IF(LOWER(TRIM(TEXT($Q286, "mmmm yyyy"))) = LOWER(TRIM(Dashboard!$A$6)), A286:A1000, "")
</f>
        <v/>
      </c>
    </row>
    <row r="287">
      <c r="B287" s="85"/>
      <c r="C287" s="85"/>
      <c r="E287" s="81" t="str">
        <f t="shared" si="1"/>
        <v/>
      </c>
      <c r="F287" s="84"/>
      <c r="G287" s="85"/>
      <c r="H287" s="85"/>
      <c r="L287" s="86"/>
      <c r="Q287" s="91"/>
      <c r="R287" s="87" t="str">
        <f>IF(LOWER(TRIM($Q287)) = LOWER(TRIM(Dashboard!$A$6)), B287, "")
</f>
        <v/>
      </c>
      <c r="S287" s="87" t="str">
        <f>IF(LOWER(TRIM($Q287)) = LOWER(TRIM(Dashboard!$A$6)), C287, "")
</f>
        <v/>
      </c>
      <c r="T287" s="91" t="str">
        <f>IF(LOWER(TRIM(TEXT($Q287, "mmmm yyyy"))) = LOWER(TRIM(Dashboard!$A$6)), A287:A1000, "")
</f>
        <v/>
      </c>
    </row>
    <row r="288">
      <c r="B288" s="85"/>
      <c r="C288" s="85"/>
      <c r="E288" s="81" t="str">
        <f t="shared" si="1"/>
        <v/>
      </c>
      <c r="F288" s="84"/>
      <c r="G288" s="85"/>
      <c r="H288" s="85"/>
      <c r="L288" s="86"/>
      <c r="Q288" s="91"/>
      <c r="R288" s="87" t="str">
        <f>IF(LOWER(TRIM($Q288)) = LOWER(TRIM(Dashboard!$A$6)), B288, "")
</f>
        <v/>
      </c>
      <c r="S288" s="87" t="str">
        <f>IF(LOWER(TRIM($Q288)) = LOWER(TRIM(Dashboard!$A$6)), C288, "")
</f>
        <v/>
      </c>
      <c r="T288" s="91" t="str">
        <f>IF(LOWER(TRIM(TEXT($Q288, "mmmm yyyy"))) = LOWER(TRIM(Dashboard!$A$6)), A288:A1000, "")
</f>
        <v/>
      </c>
    </row>
    <row r="289">
      <c r="B289" s="85"/>
      <c r="C289" s="85"/>
      <c r="E289" s="81" t="str">
        <f t="shared" si="1"/>
        <v/>
      </c>
      <c r="F289" s="84"/>
      <c r="G289" s="85"/>
      <c r="H289" s="85"/>
      <c r="L289" s="86"/>
      <c r="Q289" s="91"/>
      <c r="R289" s="87" t="str">
        <f>IF(LOWER(TRIM($Q289)) = LOWER(TRIM(Dashboard!$A$6)), B289, "")
</f>
        <v/>
      </c>
      <c r="S289" s="87" t="str">
        <f>IF(LOWER(TRIM($Q289)) = LOWER(TRIM(Dashboard!$A$6)), C289, "")
</f>
        <v/>
      </c>
      <c r="T289" s="91" t="str">
        <f>IF(LOWER(TRIM(TEXT($Q289, "mmmm yyyy"))) = LOWER(TRIM(Dashboard!$A$6)), A289:A1000, "")
</f>
        <v/>
      </c>
    </row>
    <row r="290">
      <c r="B290" s="85"/>
      <c r="C290" s="85"/>
      <c r="E290" s="81" t="str">
        <f t="shared" si="1"/>
        <v/>
      </c>
      <c r="F290" s="84"/>
      <c r="G290" s="85"/>
      <c r="H290" s="85"/>
      <c r="L290" s="86"/>
      <c r="Q290" s="91"/>
      <c r="R290" s="87" t="str">
        <f>IF(LOWER(TRIM($Q290)) = LOWER(TRIM(Dashboard!$A$6)), B290, "")
</f>
        <v/>
      </c>
      <c r="S290" s="87" t="str">
        <f>IF(LOWER(TRIM($Q290)) = LOWER(TRIM(Dashboard!$A$6)), C290, "")
</f>
        <v/>
      </c>
      <c r="T290" s="91" t="str">
        <f>IF(LOWER(TRIM(TEXT($Q290, "mmmm yyyy"))) = LOWER(TRIM(Dashboard!$A$6)), A290:A1000, "")
</f>
        <v/>
      </c>
    </row>
    <row r="291">
      <c r="B291" s="85"/>
      <c r="C291" s="85"/>
      <c r="E291" s="81" t="str">
        <f t="shared" si="1"/>
        <v/>
      </c>
      <c r="F291" s="84"/>
      <c r="G291" s="85"/>
      <c r="H291" s="85"/>
      <c r="L291" s="86"/>
      <c r="Q291" s="91"/>
      <c r="R291" s="87" t="str">
        <f>IF(LOWER(TRIM($Q291)) = LOWER(TRIM(Dashboard!$A$6)), B291, "")
</f>
        <v/>
      </c>
      <c r="S291" s="87" t="str">
        <f>IF(LOWER(TRIM($Q291)) = LOWER(TRIM(Dashboard!$A$6)), C291, "")
</f>
        <v/>
      </c>
      <c r="T291" s="91" t="str">
        <f>IF(LOWER(TRIM(TEXT($Q291, "mmmm yyyy"))) = LOWER(TRIM(Dashboard!$A$6)), A291:A1000, "")
</f>
        <v/>
      </c>
    </row>
    <row r="292">
      <c r="B292" s="85"/>
      <c r="C292" s="85"/>
      <c r="E292" s="81" t="str">
        <f t="shared" si="1"/>
        <v/>
      </c>
      <c r="F292" s="84"/>
      <c r="G292" s="85"/>
      <c r="H292" s="85"/>
      <c r="L292" s="86"/>
      <c r="Q292" s="91"/>
      <c r="R292" s="87" t="str">
        <f>IF(LOWER(TRIM($Q292)) = LOWER(TRIM(Dashboard!$A$6)), B292, "")
</f>
        <v/>
      </c>
      <c r="S292" s="87" t="str">
        <f>IF(LOWER(TRIM($Q292)) = LOWER(TRIM(Dashboard!$A$6)), C292, "")
</f>
        <v/>
      </c>
      <c r="T292" s="91" t="str">
        <f>IF(LOWER(TRIM(TEXT($Q292, "mmmm yyyy"))) = LOWER(TRIM(Dashboard!$A$6)), A292:A1000, "")
</f>
        <v/>
      </c>
    </row>
    <row r="293">
      <c r="B293" s="85"/>
      <c r="C293" s="85"/>
      <c r="E293" s="81" t="str">
        <f t="shared" si="1"/>
        <v/>
      </c>
      <c r="F293" s="84"/>
      <c r="G293" s="85"/>
      <c r="H293" s="85"/>
      <c r="L293" s="86"/>
      <c r="Q293" s="91"/>
      <c r="R293" s="87" t="str">
        <f>IF(LOWER(TRIM($Q293)) = LOWER(TRIM(Dashboard!$A$6)), B293, "")
</f>
        <v/>
      </c>
      <c r="S293" s="87" t="str">
        <f>IF(LOWER(TRIM($Q293)) = LOWER(TRIM(Dashboard!$A$6)), C293, "")
</f>
        <v/>
      </c>
      <c r="T293" s="91" t="str">
        <f>IF(LOWER(TRIM(TEXT($Q293, "mmmm yyyy"))) = LOWER(TRIM(Dashboard!$A$6)), A293:A1000, "")
</f>
        <v/>
      </c>
    </row>
    <row r="294">
      <c r="B294" s="85"/>
      <c r="C294" s="85"/>
      <c r="E294" s="81" t="str">
        <f t="shared" si="1"/>
        <v/>
      </c>
      <c r="F294" s="84"/>
      <c r="G294" s="85"/>
      <c r="H294" s="85"/>
      <c r="L294" s="86"/>
      <c r="Q294" s="91"/>
      <c r="R294" s="87" t="str">
        <f>IF(LOWER(TRIM($Q294)) = LOWER(TRIM(Dashboard!$A$6)), B294, "")
</f>
        <v/>
      </c>
      <c r="S294" s="87" t="str">
        <f>IF(LOWER(TRIM($Q294)) = LOWER(TRIM(Dashboard!$A$6)), C294, "")
</f>
        <v/>
      </c>
      <c r="T294" s="91" t="str">
        <f>IF(LOWER(TRIM(TEXT($Q294, "mmmm yyyy"))) = LOWER(TRIM(Dashboard!$A$6)), A294:A1000, "")
</f>
        <v/>
      </c>
    </row>
    <row r="295">
      <c r="B295" s="85"/>
      <c r="C295" s="85"/>
      <c r="E295" s="81" t="str">
        <f t="shared" si="1"/>
        <v/>
      </c>
      <c r="F295" s="84"/>
      <c r="G295" s="85"/>
      <c r="H295" s="85"/>
      <c r="L295" s="86"/>
      <c r="Q295" s="91"/>
      <c r="R295" s="87" t="str">
        <f>IF(LOWER(TRIM($Q295)) = LOWER(TRIM(Dashboard!$A$6)), B295, "")
</f>
        <v/>
      </c>
      <c r="S295" s="87" t="str">
        <f>IF(LOWER(TRIM($Q295)) = LOWER(TRIM(Dashboard!$A$6)), C295, "")
</f>
        <v/>
      </c>
      <c r="T295" s="91" t="str">
        <f>IF(LOWER(TRIM(TEXT($Q295, "mmmm yyyy"))) = LOWER(TRIM(Dashboard!$A$6)), A295:A1000, "")
</f>
        <v/>
      </c>
    </row>
    <row r="296">
      <c r="B296" s="85"/>
      <c r="C296" s="85"/>
      <c r="E296" s="81" t="str">
        <f t="shared" si="1"/>
        <v/>
      </c>
      <c r="F296" s="84"/>
      <c r="G296" s="85"/>
      <c r="H296" s="85"/>
      <c r="L296" s="86"/>
      <c r="Q296" s="91"/>
      <c r="R296" s="87" t="str">
        <f>IF(LOWER(TRIM($Q296)) = LOWER(TRIM(Dashboard!$A$6)), B296, "")
</f>
        <v/>
      </c>
      <c r="S296" s="87" t="str">
        <f>IF(LOWER(TRIM($Q296)) = LOWER(TRIM(Dashboard!$A$6)), C296, "")
</f>
        <v/>
      </c>
      <c r="T296" s="91" t="str">
        <f>IF(LOWER(TRIM(TEXT($Q296, "mmmm yyyy"))) = LOWER(TRIM(Dashboard!$A$6)), A296:A1000, "")
</f>
        <v/>
      </c>
    </row>
    <row r="297">
      <c r="B297" s="85"/>
      <c r="C297" s="85"/>
      <c r="E297" s="81" t="str">
        <f t="shared" si="1"/>
        <v/>
      </c>
      <c r="F297" s="84"/>
      <c r="G297" s="85"/>
      <c r="H297" s="85"/>
      <c r="L297" s="86"/>
      <c r="Q297" s="91"/>
      <c r="R297" s="87" t="str">
        <f>IF(LOWER(TRIM($Q297)) = LOWER(TRIM(Dashboard!$A$6)), B297, "")
</f>
        <v/>
      </c>
      <c r="S297" s="87" t="str">
        <f>IF(LOWER(TRIM($Q297)) = LOWER(TRIM(Dashboard!$A$6)), C297, "")
</f>
        <v/>
      </c>
      <c r="T297" s="91" t="str">
        <f>IF(LOWER(TRIM(TEXT($Q297, "mmmm yyyy"))) = LOWER(TRIM(Dashboard!$A$6)), A297:A1000, "")
</f>
        <v/>
      </c>
    </row>
    <row r="298">
      <c r="B298" s="85"/>
      <c r="C298" s="85"/>
      <c r="E298" s="81" t="str">
        <f t="shared" si="1"/>
        <v/>
      </c>
      <c r="F298" s="84"/>
      <c r="G298" s="85"/>
      <c r="H298" s="85"/>
      <c r="L298" s="86"/>
      <c r="Q298" s="91"/>
      <c r="R298" s="87" t="str">
        <f>IF(LOWER(TRIM($Q298)) = LOWER(TRIM(Dashboard!$A$6)), B298, "")
</f>
        <v/>
      </c>
      <c r="S298" s="87" t="str">
        <f>IF(LOWER(TRIM($Q298)) = LOWER(TRIM(Dashboard!$A$6)), C298, "")
</f>
        <v/>
      </c>
      <c r="T298" s="91" t="str">
        <f>IF(LOWER(TRIM(TEXT($Q298, "mmmm yyyy"))) = LOWER(TRIM(Dashboard!$A$6)), A298:A1000, "")
</f>
        <v/>
      </c>
    </row>
    <row r="299">
      <c r="B299" s="85"/>
      <c r="C299" s="85"/>
      <c r="E299" s="81" t="str">
        <f t="shared" si="1"/>
        <v/>
      </c>
      <c r="F299" s="84"/>
      <c r="G299" s="85"/>
      <c r="H299" s="85"/>
      <c r="L299" s="86"/>
      <c r="Q299" s="91"/>
      <c r="R299" s="87" t="str">
        <f>IF(LOWER(TRIM($Q299)) = LOWER(TRIM(Dashboard!$A$6)), B299, "")
</f>
        <v/>
      </c>
      <c r="S299" s="87" t="str">
        <f>IF(LOWER(TRIM($Q299)) = LOWER(TRIM(Dashboard!$A$6)), C299, "")
</f>
        <v/>
      </c>
      <c r="T299" s="91" t="str">
        <f>IF(LOWER(TRIM(TEXT($Q299, "mmmm yyyy"))) = LOWER(TRIM(Dashboard!$A$6)), A299:A1000, "")
</f>
        <v/>
      </c>
    </row>
    <row r="300">
      <c r="B300" s="85"/>
      <c r="C300" s="85"/>
      <c r="E300" s="81" t="str">
        <f t="shared" si="1"/>
        <v/>
      </c>
      <c r="F300" s="84"/>
      <c r="G300" s="85"/>
      <c r="H300" s="85"/>
      <c r="L300" s="86"/>
      <c r="Q300" s="91"/>
      <c r="R300" s="87" t="str">
        <f>IF(LOWER(TRIM($Q300)) = LOWER(TRIM(Dashboard!$A$6)), B300, "")
</f>
        <v/>
      </c>
      <c r="S300" s="87" t="str">
        <f>IF(LOWER(TRIM($Q300)) = LOWER(TRIM(Dashboard!$A$6)), C300, "")
</f>
        <v/>
      </c>
      <c r="T300" s="91" t="str">
        <f>IF(LOWER(TRIM(TEXT($Q300, "mmmm yyyy"))) = LOWER(TRIM(Dashboard!$A$6)), A300:A1000, "")
</f>
        <v/>
      </c>
    </row>
    <row r="301">
      <c r="B301" s="85"/>
      <c r="C301" s="85"/>
      <c r="E301" s="81" t="str">
        <f t="shared" si="1"/>
        <v/>
      </c>
      <c r="F301" s="84"/>
      <c r="G301" s="85"/>
      <c r="H301" s="85"/>
      <c r="L301" s="86"/>
      <c r="Q301" s="91"/>
      <c r="R301" s="87" t="str">
        <f>IF(LOWER(TRIM($Q301)) = LOWER(TRIM(Dashboard!$A$6)), B301, "")
</f>
        <v/>
      </c>
      <c r="S301" s="87" t="str">
        <f>IF(LOWER(TRIM($Q301)) = LOWER(TRIM(Dashboard!$A$6)), C301, "")
</f>
        <v/>
      </c>
      <c r="T301" s="91" t="str">
        <f>IF(LOWER(TRIM(TEXT($Q301, "mmmm yyyy"))) = LOWER(TRIM(Dashboard!$A$6)), A301:A1000, "")
</f>
        <v/>
      </c>
    </row>
    <row r="302">
      <c r="B302" s="85"/>
      <c r="C302" s="85"/>
      <c r="E302" s="81" t="str">
        <f t="shared" si="1"/>
        <v/>
      </c>
      <c r="F302" s="84"/>
      <c r="G302" s="85"/>
      <c r="H302" s="85"/>
      <c r="L302" s="86"/>
      <c r="Q302" s="91"/>
      <c r="R302" s="87" t="str">
        <f>IF(LOWER(TRIM($Q302)) = LOWER(TRIM(Dashboard!$A$6)), B302, "")
</f>
        <v/>
      </c>
      <c r="S302" s="87" t="str">
        <f>IF(LOWER(TRIM($Q302)) = LOWER(TRIM(Dashboard!$A$6)), C302, "")
</f>
        <v/>
      </c>
      <c r="T302" s="91" t="str">
        <f>IF(LOWER(TRIM(TEXT($Q302, "mmmm yyyy"))) = LOWER(TRIM(Dashboard!$A$6)), A302:A1000, "")
</f>
        <v/>
      </c>
    </row>
    <row r="303">
      <c r="B303" s="85"/>
      <c r="C303" s="85"/>
      <c r="E303" s="81" t="str">
        <f t="shared" si="1"/>
        <v/>
      </c>
      <c r="F303" s="84"/>
      <c r="G303" s="85"/>
      <c r="H303" s="85"/>
      <c r="L303" s="86"/>
      <c r="Q303" s="91"/>
      <c r="R303" s="87" t="str">
        <f>IF(LOWER(TRIM($Q303)) = LOWER(TRIM(Dashboard!$A$6)), B303, "")
</f>
        <v/>
      </c>
      <c r="S303" s="87" t="str">
        <f>IF(LOWER(TRIM($Q303)) = LOWER(TRIM(Dashboard!$A$6)), C303, "")
</f>
        <v/>
      </c>
      <c r="T303" s="91" t="str">
        <f>IF(LOWER(TRIM(TEXT($Q303, "mmmm yyyy"))) = LOWER(TRIM(Dashboard!$A$6)), A303:A1000, "")
</f>
        <v/>
      </c>
    </row>
    <row r="304">
      <c r="B304" s="85"/>
      <c r="C304" s="85"/>
      <c r="E304" s="81" t="str">
        <f t="shared" si="1"/>
        <v/>
      </c>
      <c r="F304" s="84"/>
      <c r="G304" s="85"/>
      <c r="H304" s="85"/>
      <c r="L304" s="86"/>
      <c r="Q304" s="91"/>
      <c r="R304" s="87" t="str">
        <f>IF(LOWER(TRIM($Q304)) = LOWER(TRIM(Dashboard!$A$6)), B304, "")
</f>
        <v/>
      </c>
      <c r="S304" s="87" t="str">
        <f>IF(LOWER(TRIM($Q304)) = LOWER(TRIM(Dashboard!$A$6)), C304, "")
</f>
        <v/>
      </c>
      <c r="T304" s="91" t="str">
        <f>IF(LOWER(TRIM(TEXT($Q304, "mmmm yyyy"))) = LOWER(TRIM(Dashboard!$A$6)), A304:A1000, "")
</f>
        <v/>
      </c>
    </row>
    <row r="305">
      <c r="B305" s="85"/>
      <c r="C305" s="85"/>
      <c r="E305" s="81" t="str">
        <f t="shared" si="1"/>
        <v/>
      </c>
      <c r="F305" s="84"/>
      <c r="G305" s="85"/>
      <c r="H305" s="85"/>
      <c r="L305" s="86"/>
      <c r="Q305" s="91"/>
      <c r="R305" s="87" t="str">
        <f>IF(LOWER(TRIM($Q305)) = LOWER(TRIM(Dashboard!$A$6)), B305, "")
</f>
        <v/>
      </c>
      <c r="S305" s="87" t="str">
        <f>IF(LOWER(TRIM($Q305)) = LOWER(TRIM(Dashboard!$A$6)), C305, "")
</f>
        <v/>
      </c>
      <c r="T305" s="91" t="str">
        <f>IF(LOWER(TRIM(TEXT($Q305, "mmmm yyyy"))) = LOWER(TRIM(Dashboard!$A$6)), A305:A1000, "")
</f>
        <v/>
      </c>
    </row>
    <row r="306">
      <c r="B306" s="85"/>
      <c r="C306" s="85"/>
      <c r="E306" s="81" t="str">
        <f t="shared" si="1"/>
        <v/>
      </c>
      <c r="F306" s="84"/>
      <c r="G306" s="85"/>
      <c r="H306" s="85"/>
      <c r="L306" s="86"/>
      <c r="Q306" s="91"/>
      <c r="R306" s="87" t="str">
        <f>IF(LOWER(TRIM($Q306)) = LOWER(TRIM(Dashboard!$A$6)), B306, "")
</f>
        <v/>
      </c>
      <c r="S306" s="87" t="str">
        <f>IF(LOWER(TRIM($Q306)) = LOWER(TRIM(Dashboard!$A$6)), C306, "")
</f>
        <v/>
      </c>
      <c r="T306" s="91" t="str">
        <f>IF(LOWER(TRIM(TEXT($Q306, "mmmm yyyy"))) = LOWER(TRIM(Dashboard!$A$6)), A306:A1000, "")
</f>
        <v/>
      </c>
    </row>
    <row r="307">
      <c r="B307" s="85"/>
      <c r="C307" s="85"/>
      <c r="E307" s="81" t="str">
        <f t="shared" si="1"/>
        <v/>
      </c>
      <c r="F307" s="84"/>
      <c r="G307" s="85"/>
      <c r="H307" s="85"/>
      <c r="L307" s="86"/>
      <c r="Q307" s="91"/>
      <c r="R307" s="87" t="str">
        <f>IF(LOWER(TRIM($Q307)) = LOWER(TRIM(Dashboard!$A$6)), B307, "")
</f>
        <v/>
      </c>
      <c r="S307" s="87" t="str">
        <f>IF(LOWER(TRIM($Q307)) = LOWER(TRIM(Dashboard!$A$6)), C307, "")
</f>
        <v/>
      </c>
      <c r="T307" s="91" t="str">
        <f>IF(LOWER(TRIM(TEXT($Q307, "mmmm yyyy"))) = LOWER(TRIM(Dashboard!$A$6)), A307:A1000, "")
</f>
        <v/>
      </c>
    </row>
    <row r="308">
      <c r="B308" s="85"/>
      <c r="C308" s="85"/>
      <c r="E308" s="81" t="str">
        <f t="shared" si="1"/>
        <v/>
      </c>
      <c r="F308" s="84"/>
      <c r="G308" s="85"/>
      <c r="H308" s="85"/>
      <c r="L308" s="86"/>
      <c r="Q308" s="91"/>
      <c r="R308" s="87" t="str">
        <f>IF(LOWER(TRIM($Q308)) = LOWER(TRIM(Dashboard!$A$6)), B308, "")
</f>
        <v/>
      </c>
      <c r="S308" s="87" t="str">
        <f>IF(LOWER(TRIM($Q308)) = LOWER(TRIM(Dashboard!$A$6)), C308, "")
</f>
        <v/>
      </c>
      <c r="T308" s="91" t="str">
        <f>IF(LOWER(TRIM(TEXT($Q308, "mmmm yyyy"))) = LOWER(TRIM(Dashboard!$A$6)), A308:A1000, "")
</f>
        <v/>
      </c>
    </row>
    <row r="309">
      <c r="B309" s="85"/>
      <c r="C309" s="85"/>
      <c r="E309" s="81" t="str">
        <f t="shared" si="1"/>
        <v/>
      </c>
      <c r="F309" s="84"/>
      <c r="G309" s="85"/>
      <c r="H309" s="85"/>
      <c r="L309" s="86"/>
      <c r="Q309" s="91"/>
      <c r="R309" s="87" t="str">
        <f>IF(LOWER(TRIM($Q309)) = LOWER(TRIM(Dashboard!$A$6)), B309, "")
</f>
        <v/>
      </c>
      <c r="S309" s="87" t="str">
        <f>IF(LOWER(TRIM($Q309)) = LOWER(TRIM(Dashboard!$A$6)), C309, "")
</f>
        <v/>
      </c>
      <c r="T309" s="91" t="str">
        <f>IF(LOWER(TRIM(TEXT($Q309, "mmmm yyyy"))) = LOWER(TRIM(Dashboard!$A$6)), A309:A1000, "")
</f>
        <v/>
      </c>
    </row>
    <row r="310">
      <c r="B310" s="85"/>
      <c r="C310" s="85"/>
      <c r="E310" s="81" t="str">
        <f t="shared" si="1"/>
        <v/>
      </c>
      <c r="F310" s="84"/>
      <c r="G310" s="85"/>
      <c r="H310" s="85"/>
      <c r="L310" s="86"/>
      <c r="Q310" s="91"/>
      <c r="R310" s="87" t="str">
        <f>IF(LOWER(TRIM($Q310)) = LOWER(TRIM(Dashboard!$A$6)), B310, "")
</f>
        <v/>
      </c>
      <c r="S310" s="87" t="str">
        <f>IF(LOWER(TRIM($Q310)) = LOWER(TRIM(Dashboard!$A$6)), C310, "")
</f>
        <v/>
      </c>
      <c r="T310" s="91" t="str">
        <f>IF(LOWER(TRIM(TEXT($Q310, "mmmm yyyy"))) = LOWER(TRIM(Dashboard!$A$6)), A310:A1000, "")
</f>
        <v/>
      </c>
    </row>
    <row r="311">
      <c r="B311" s="85"/>
      <c r="C311" s="85"/>
      <c r="E311" s="81" t="str">
        <f t="shared" si="1"/>
        <v/>
      </c>
      <c r="F311" s="84"/>
      <c r="G311" s="85"/>
      <c r="H311" s="85"/>
      <c r="L311" s="86"/>
      <c r="Q311" s="91"/>
      <c r="R311" s="87" t="str">
        <f>IF(LOWER(TRIM($Q311)) = LOWER(TRIM(Dashboard!$A$6)), B311, "")
</f>
        <v/>
      </c>
      <c r="S311" s="87" t="str">
        <f>IF(LOWER(TRIM($Q311)) = LOWER(TRIM(Dashboard!$A$6)), C311, "")
</f>
        <v/>
      </c>
      <c r="T311" s="91" t="str">
        <f>IF(LOWER(TRIM(TEXT($Q311, "mmmm yyyy"))) = LOWER(TRIM(Dashboard!$A$6)), A311:A1000, "")
</f>
        <v/>
      </c>
    </row>
    <row r="312">
      <c r="B312" s="85"/>
      <c r="C312" s="85"/>
      <c r="E312" s="81" t="str">
        <f t="shared" si="1"/>
        <v/>
      </c>
      <c r="F312" s="84"/>
      <c r="G312" s="85"/>
      <c r="H312" s="85"/>
      <c r="L312" s="86"/>
      <c r="Q312" s="91"/>
      <c r="R312" s="87" t="str">
        <f>IF(LOWER(TRIM($Q312)) = LOWER(TRIM(Dashboard!$A$6)), B312, "")
</f>
        <v/>
      </c>
      <c r="S312" s="87" t="str">
        <f>IF(LOWER(TRIM($Q312)) = LOWER(TRIM(Dashboard!$A$6)), C312, "")
</f>
        <v/>
      </c>
      <c r="T312" s="91" t="str">
        <f>IF(LOWER(TRIM(TEXT($Q312, "mmmm yyyy"))) = LOWER(TRIM(Dashboard!$A$6)), A312:A1000, "")
</f>
        <v/>
      </c>
    </row>
    <row r="313">
      <c r="B313" s="85"/>
      <c r="C313" s="85"/>
      <c r="E313" s="81" t="str">
        <f t="shared" si="1"/>
        <v/>
      </c>
      <c r="F313" s="84"/>
      <c r="G313" s="85"/>
      <c r="H313" s="85"/>
      <c r="L313" s="86"/>
      <c r="Q313" s="91"/>
      <c r="R313" s="87" t="str">
        <f>IF(LOWER(TRIM($Q313)) = LOWER(TRIM(Dashboard!$A$6)), B313, "")
</f>
        <v/>
      </c>
      <c r="S313" s="87" t="str">
        <f>IF(LOWER(TRIM($Q313)) = LOWER(TRIM(Dashboard!$A$6)), C313, "")
</f>
        <v/>
      </c>
      <c r="T313" s="91" t="str">
        <f>IF(LOWER(TRIM(TEXT($Q313, "mmmm yyyy"))) = LOWER(TRIM(Dashboard!$A$6)), A313:A1000, "")
</f>
        <v/>
      </c>
    </row>
    <row r="314">
      <c r="B314" s="85"/>
      <c r="C314" s="85"/>
      <c r="E314" s="81" t="str">
        <f t="shared" si="1"/>
        <v/>
      </c>
      <c r="F314" s="84"/>
      <c r="G314" s="85"/>
      <c r="H314" s="85"/>
      <c r="L314" s="86"/>
      <c r="Q314" s="91"/>
      <c r="R314" s="87" t="str">
        <f>IF(LOWER(TRIM($Q314)) = LOWER(TRIM(Dashboard!$A$6)), B314, "")
</f>
        <v/>
      </c>
      <c r="S314" s="87" t="str">
        <f>IF(LOWER(TRIM($Q314)) = LOWER(TRIM(Dashboard!$A$6)), C314, "")
</f>
        <v/>
      </c>
      <c r="T314" s="91" t="str">
        <f>IF(LOWER(TRIM(TEXT($Q314, "mmmm yyyy"))) = LOWER(TRIM(Dashboard!$A$6)), A314:A1000, "")
</f>
        <v/>
      </c>
    </row>
    <row r="315">
      <c r="B315" s="85"/>
      <c r="C315" s="85"/>
      <c r="E315" s="81" t="str">
        <f t="shared" si="1"/>
        <v/>
      </c>
      <c r="F315" s="84"/>
      <c r="G315" s="85"/>
      <c r="H315" s="85"/>
      <c r="L315" s="86"/>
      <c r="Q315" s="91"/>
      <c r="R315" s="87" t="str">
        <f>IF(LOWER(TRIM($Q315)) = LOWER(TRIM(Dashboard!$A$6)), B315, "")
</f>
        <v/>
      </c>
      <c r="S315" s="87" t="str">
        <f>IF(LOWER(TRIM($Q315)) = LOWER(TRIM(Dashboard!$A$6)), C315, "")
</f>
        <v/>
      </c>
      <c r="T315" s="91" t="str">
        <f>IF(LOWER(TRIM(TEXT($Q315, "mmmm yyyy"))) = LOWER(TRIM(Dashboard!$A$6)), A315:A1000, "")
</f>
        <v/>
      </c>
    </row>
    <row r="316">
      <c r="B316" s="85"/>
      <c r="C316" s="85"/>
      <c r="E316" s="81" t="str">
        <f t="shared" si="1"/>
        <v/>
      </c>
      <c r="F316" s="84"/>
      <c r="G316" s="85"/>
      <c r="H316" s="85"/>
      <c r="L316" s="86"/>
      <c r="Q316" s="91"/>
      <c r="R316" s="87" t="str">
        <f>IF(LOWER(TRIM($Q316)) = LOWER(TRIM(Dashboard!$A$6)), B316, "")
</f>
        <v/>
      </c>
      <c r="S316" s="87" t="str">
        <f>IF(LOWER(TRIM($Q316)) = LOWER(TRIM(Dashboard!$A$6)), C316, "")
</f>
        <v/>
      </c>
      <c r="T316" s="91" t="str">
        <f>IF(LOWER(TRIM(TEXT($Q316, "mmmm yyyy"))) = LOWER(TRIM(Dashboard!$A$6)), A316:A1000, "")
</f>
        <v/>
      </c>
    </row>
    <row r="317">
      <c r="B317" s="85"/>
      <c r="C317" s="85"/>
      <c r="E317" s="81" t="str">
        <f t="shared" si="1"/>
        <v/>
      </c>
      <c r="F317" s="84"/>
      <c r="G317" s="85"/>
      <c r="H317" s="85"/>
      <c r="L317" s="86"/>
      <c r="Q317" s="91"/>
      <c r="R317" s="87" t="str">
        <f>IF(LOWER(TRIM($Q317)) = LOWER(TRIM(Dashboard!$A$6)), B317, "")
</f>
        <v/>
      </c>
      <c r="S317" s="87" t="str">
        <f>IF(LOWER(TRIM($Q317)) = LOWER(TRIM(Dashboard!$A$6)), C317, "")
</f>
        <v/>
      </c>
      <c r="T317" s="91" t="str">
        <f>IF(LOWER(TRIM(TEXT($Q317, "mmmm yyyy"))) = LOWER(TRIM(Dashboard!$A$6)), A317:A1000, "")
</f>
        <v/>
      </c>
    </row>
    <row r="318">
      <c r="B318" s="85"/>
      <c r="C318" s="85"/>
      <c r="E318" s="81" t="str">
        <f t="shared" si="1"/>
        <v/>
      </c>
      <c r="F318" s="84"/>
      <c r="G318" s="85"/>
      <c r="H318" s="85"/>
      <c r="L318" s="86"/>
      <c r="Q318" s="91"/>
      <c r="R318" s="87" t="str">
        <f>IF(LOWER(TRIM($Q318)) = LOWER(TRIM(Dashboard!$A$6)), B318, "")
</f>
        <v/>
      </c>
      <c r="S318" s="87" t="str">
        <f>IF(LOWER(TRIM($Q318)) = LOWER(TRIM(Dashboard!$A$6)), C318, "")
</f>
        <v/>
      </c>
      <c r="T318" s="91" t="str">
        <f>IF(LOWER(TRIM(TEXT($Q318, "mmmm yyyy"))) = LOWER(TRIM(Dashboard!$A$6)), A318:A1000, "")
</f>
        <v/>
      </c>
    </row>
    <row r="319">
      <c r="B319" s="85"/>
      <c r="C319" s="85"/>
      <c r="E319" s="81" t="str">
        <f t="shared" si="1"/>
        <v/>
      </c>
      <c r="F319" s="84"/>
      <c r="G319" s="85"/>
      <c r="H319" s="85"/>
      <c r="L319" s="86"/>
      <c r="Q319" s="91"/>
      <c r="R319" s="87" t="str">
        <f>IF(LOWER(TRIM($Q319)) = LOWER(TRIM(Dashboard!$A$6)), B319, "")
</f>
        <v/>
      </c>
      <c r="S319" s="87" t="str">
        <f>IF(LOWER(TRIM($Q319)) = LOWER(TRIM(Dashboard!$A$6)), C319, "")
</f>
        <v/>
      </c>
      <c r="T319" s="91" t="str">
        <f>IF(LOWER(TRIM(TEXT($Q319, "mmmm yyyy"))) = LOWER(TRIM(Dashboard!$A$6)), A319:A1000, "")
</f>
        <v/>
      </c>
    </row>
    <row r="320">
      <c r="B320" s="85"/>
      <c r="C320" s="85"/>
      <c r="E320" s="81" t="str">
        <f t="shared" si="1"/>
        <v/>
      </c>
      <c r="F320" s="84"/>
      <c r="G320" s="85"/>
      <c r="H320" s="85"/>
      <c r="L320" s="86"/>
      <c r="Q320" s="91"/>
      <c r="R320" s="87" t="str">
        <f>IF(LOWER(TRIM($Q320)) = LOWER(TRIM(Dashboard!$A$6)), B320, "")
</f>
        <v/>
      </c>
      <c r="S320" s="87" t="str">
        <f>IF(LOWER(TRIM($Q320)) = LOWER(TRIM(Dashboard!$A$6)), C320, "")
</f>
        <v/>
      </c>
      <c r="T320" s="91" t="str">
        <f>IF(LOWER(TRIM(TEXT($Q320, "mmmm yyyy"))) = LOWER(TRIM(Dashboard!$A$6)), A320:A1000, "")
</f>
        <v/>
      </c>
    </row>
    <row r="321">
      <c r="B321" s="85"/>
      <c r="C321" s="85"/>
      <c r="E321" s="81" t="str">
        <f t="shared" si="1"/>
        <v/>
      </c>
      <c r="F321" s="84"/>
      <c r="G321" s="85"/>
      <c r="H321" s="85"/>
      <c r="L321" s="86"/>
      <c r="Q321" s="91"/>
      <c r="R321" s="87" t="str">
        <f>IF(LOWER(TRIM($Q321)) = LOWER(TRIM(Dashboard!$A$6)), B321, "")
</f>
        <v/>
      </c>
      <c r="S321" s="87" t="str">
        <f>IF(LOWER(TRIM($Q321)) = LOWER(TRIM(Dashboard!$A$6)), C321, "")
</f>
        <v/>
      </c>
      <c r="T321" s="91" t="str">
        <f>IF(LOWER(TRIM(TEXT($Q321, "mmmm yyyy"))) = LOWER(TRIM(Dashboard!$A$6)), A321:A1000, "")
</f>
        <v/>
      </c>
    </row>
    <row r="322">
      <c r="B322" s="85"/>
      <c r="C322" s="85"/>
      <c r="E322" s="81" t="str">
        <f t="shared" si="1"/>
        <v/>
      </c>
      <c r="F322" s="84"/>
      <c r="G322" s="85"/>
      <c r="H322" s="85"/>
      <c r="L322" s="86"/>
      <c r="Q322" s="91"/>
      <c r="R322" s="87" t="str">
        <f>IF(LOWER(TRIM($Q322)) = LOWER(TRIM(Dashboard!$A$6)), B322, "")
</f>
        <v/>
      </c>
      <c r="S322" s="87" t="str">
        <f>IF(LOWER(TRIM($Q322)) = LOWER(TRIM(Dashboard!$A$6)), C322, "")
</f>
        <v/>
      </c>
      <c r="T322" s="91" t="str">
        <f>IF(LOWER(TRIM(TEXT($Q322, "mmmm yyyy"))) = LOWER(TRIM(Dashboard!$A$6)), A322:A1000, "")
</f>
        <v/>
      </c>
    </row>
    <row r="323">
      <c r="B323" s="85"/>
      <c r="C323" s="85"/>
      <c r="E323" s="81" t="str">
        <f t="shared" si="1"/>
        <v/>
      </c>
      <c r="F323" s="84"/>
      <c r="G323" s="85"/>
      <c r="H323" s="85"/>
      <c r="L323" s="86"/>
      <c r="Q323" s="91"/>
      <c r="R323" s="87" t="str">
        <f>IF(LOWER(TRIM($Q323)) = LOWER(TRIM(Dashboard!$A$6)), B323, "")
</f>
        <v/>
      </c>
      <c r="S323" s="87" t="str">
        <f>IF(LOWER(TRIM($Q323)) = LOWER(TRIM(Dashboard!$A$6)), C323, "")
</f>
        <v/>
      </c>
      <c r="T323" s="91" t="str">
        <f>IF(LOWER(TRIM(TEXT($Q323, "mmmm yyyy"))) = LOWER(TRIM(Dashboard!$A$6)), A323:A1000, "")
</f>
        <v/>
      </c>
    </row>
    <row r="324">
      <c r="B324" s="85"/>
      <c r="C324" s="85"/>
      <c r="E324" s="81" t="str">
        <f t="shared" si="1"/>
        <v/>
      </c>
      <c r="F324" s="84"/>
      <c r="G324" s="85"/>
      <c r="H324" s="85"/>
      <c r="L324" s="86"/>
      <c r="Q324" s="91"/>
      <c r="R324" s="87" t="str">
        <f>IF(LOWER(TRIM($Q324)) = LOWER(TRIM(Dashboard!$A$6)), B324, "")
</f>
        <v/>
      </c>
      <c r="S324" s="87" t="str">
        <f>IF(LOWER(TRIM($Q324)) = LOWER(TRIM(Dashboard!$A$6)), C324, "")
</f>
        <v/>
      </c>
      <c r="T324" s="91" t="str">
        <f>IF(LOWER(TRIM(TEXT($Q324, "mmmm yyyy"))) = LOWER(TRIM(Dashboard!$A$6)), A324:A1000, "")
</f>
        <v/>
      </c>
    </row>
    <row r="325">
      <c r="B325" s="85"/>
      <c r="C325" s="85"/>
      <c r="E325" s="81" t="str">
        <f t="shared" si="1"/>
        <v/>
      </c>
      <c r="F325" s="84"/>
      <c r="G325" s="85"/>
      <c r="H325" s="85"/>
      <c r="L325" s="86"/>
      <c r="Q325" s="91"/>
      <c r="R325" s="87" t="str">
        <f>IF(LOWER(TRIM($Q325)) = LOWER(TRIM(Dashboard!$A$6)), B325, "")
</f>
        <v/>
      </c>
      <c r="S325" s="87" t="str">
        <f>IF(LOWER(TRIM($Q325)) = LOWER(TRIM(Dashboard!$A$6)), C325, "")
</f>
        <v/>
      </c>
      <c r="T325" s="91" t="str">
        <f>IF(LOWER(TRIM(TEXT($Q325, "mmmm yyyy"))) = LOWER(TRIM(Dashboard!$A$6)), A325:A1000, "")
</f>
        <v/>
      </c>
    </row>
    <row r="326">
      <c r="B326" s="85"/>
      <c r="C326" s="85"/>
      <c r="E326" s="81" t="str">
        <f t="shared" si="1"/>
        <v/>
      </c>
      <c r="F326" s="84"/>
      <c r="G326" s="85"/>
      <c r="H326" s="85"/>
      <c r="L326" s="86"/>
      <c r="Q326" s="91"/>
      <c r="R326" s="87" t="str">
        <f>IF(LOWER(TRIM($Q326)) = LOWER(TRIM(Dashboard!$A$6)), B326, "")
</f>
        <v/>
      </c>
      <c r="S326" s="87" t="str">
        <f>IF(LOWER(TRIM($Q326)) = LOWER(TRIM(Dashboard!$A$6)), C326, "")
</f>
        <v/>
      </c>
      <c r="T326" s="91" t="str">
        <f>IF(LOWER(TRIM(TEXT($Q326, "mmmm yyyy"))) = LOWER(TRIM(Dashboard!$A$6)), A326:A1000, "")
</f>
        <v/>
      </c>
    </row>
    <row r="327">
      <c r="B327" s="85"/>
      <c r="C327" s="85"/>
      <c r="E327" s="81" t="str">
        <f t="shared" si="1"/>
        <v/>
      </c>
      <c r="F327" s="84"/>
      <c r="G327" s="85"/>
      <c r="H327" s="85"/>
      <c r="L327" s="86"/>
      <c r="Q327" s="91"/>
      <c r="R327" s="87" t="str">
        <f>IF(LOWER(TRIM($Q327)) = LOWER(TRIM(Dashboard!$A$6)), B327, "")
</f>
        <v/>
      </c>
      <c r="S327" s="87" t="str">
        <f>IF(LOWER(TRIM($Q327)) = LOWER(TRIM(Dashboard!$A$6)), C327, "")
</f>
        <v/>
      </c>
      <c r="T327" s="91" t="str">
        <f>IF(LOWER(TRIM(TEXT($Q327, "mmmm yyyy"))) = LOWER(TRIM(Dashboard!$A$6)), A327:A1000, "")
</f>
        <v/>
      </c>
    </row>
    <row r="328">
      <c r="B328" s="85"/>
      <c r="C328" s="85"/>
      <c r="E328" s="81" t="str">
        <f t="shared" si="1"/>
        <v/>
      </c>
      <c r="F328" s="84"/>
      <c r="G328" s="85"/>
      <c r="H328" s="85"/>
      <c r="L328" s="86"/>
      <c r="Q328" s="91"/>
      <c r="R328" s="87" t="str">
        <f>IF(LOWER(TRIM($Q328)) = LOWER(TRIM(Dashboard!$A$6)), B328, "")
</f>
        <v/>
      </c>
      <c r="S328" s="87" t="str">
        <f>IF(LOWER(TRIM($Q328)) = LOWER(TRIM(Dashboard!$A$6)), C328, "")
</f>
        <v/>
      </c>
      <c r="T328" s="91" t="str">
        <f>IF(LOWER(TRIM(TEXT($Q328, "mmmm yyyy"))) = LOWER(TRIM(Dashboard!$A$6)), A328:A1000, "")
</f>
        <v/>
      </c>
    </row>
    <row r="329">
      <c r="B329" s="85"/>
      <c r="C329" s="85"/>
      <c r="E329" s="81" t="str">
        <f t="shared" si="1"/>
        <v/>
      </c>
      <c r="F329" s="84"/>
      <c r="G329" s="85"/>
      <c r="H329" s="85"/>
      <c r="L329" s="86"/>
      <c r="Q329" s="91"/>
      <c r="R329" s="87" t="str">
        <f>IF(LOWER(TRIM($Q329)) = LOWER(TRIM(Dashboard!$A$6)), B329, "")
</f>
        <v/>
      </c>
      <c r="S329" s="87" t="str">
        <f>IF(LOWER(TRIM($Q329)) = LOWER(TRIM(Dashboard!$A$6)), C329, "")
</f>
        <v/>
      </c>
    </row>
    <row r="330">
      <c r="B330" s="85"/>
      <c r="C330" s="85"/>
      <c r="E330" s="81" t="str">
        <f t="shared" si="1"/>
        <v/>
      </c>
      <c r="F330" s="84"/>
      <c r="G330" s="85"/>
      <c r="H330" s="85"/>
      <c r="L330" s="86"/>
      <c r="Q330" s="91"/>
      <c r="R330" s="87" t="str">
        <f>IF(LOWER(TRIM($Q330)) = LOWER(TRIM(Dashboard!$A$6)), B330, "")
</f>
        <v/>
      </c>
      <c r="S330" s="87" t="str">
        <f>IF(LOWER(TRIM($Q330)) = LOWER(TRIM(Dashboard!$A$6)), C330, "")
</f>
        <v/>
      </c>
    </row>
    <row r="331">
      <c r="B331" s="85"/>
      <c r="C331" s="85"/>
      <c r="E331" s="81" t="str">
        <f t="shared" si="1"/>
        <v/>
      </c>
      <c r="F331" s="84"/>
      <c r="G331" s="85"/>
      <c r="H331" s="85"/>
      <c r="L331" s="86"/>
      <c r="Q331" s="91"/>
      <c r="R331" s="87" t="str">
        <f>IF(LOWER(TRIM($Q331)) = LOWER(TRIM(Dashboard!$A$6)), B331, "")
</f>
        <v/>
      </c>
      <c r="S331" s="87" t="str">
        <f>IF(LOWER(TRIM($Q331)) = LOWER(TRIM(Dashboard!$A$6)), C331, "")
</f>
        <v/>
      </c>
    </row>
    <row r="332">
      <c r="B332" s="85"/>
      <c r="C332" s="85"/>
      <c r="E332" s="81" t="str">
        <f t="shared" si="1"/>
        <v/>
      </c>
      <c r="F332" s="84"/>
      <c r="G332" s="85"/>
      <c r="H332" s="85"/>
      <c r="L332" s="86"/>
      <c r="Q332" s="91"/>
      <c r="R332" s="87" t="str">
        <f>IF(LOWER(TRIM($Q332)) = LOWER(TRIM(Dashboard!$A$6)), B332, "")
</f>
        <v/>
      </c>
      <c r="S332" s="87" t="str">
        <f>IF(LOWER(TRIM($Q332)) = LOWER(TRIM(Dashboard!$A$6)), C332, "")
</f>
        <v/>
      </c>
    </row>
    <row r="333">
      <c r="B333" s="85"/>
      <c r="C333" s="85"/>
      <c r="E333" s="81" t="str">
        <f t="shared" si="1"/>
        <v/>
      </c>
      <c r="F333" s="84"/>
      <c r="G333" s="85"/>
      <c r="H333" s="85"/>
      <c r="L333" s="86"/>
      <c r="Q333" s="91"/>
      <c r="R333" s="87" t="str">
        <f>IF(LOWER(TRIM($Q333)) = LOWER(TRIM(Dashboard!$A$6)), B333, "")
</f>
        <v/>
      </c>
      <c r="S333" s="87" t="str">
        <f>IF(LOWER(TRIM($Q333)) = LOWER(TRIM(Dashboard!$A$6)), C333, "")
</f>
        <v/>
      </c>
    </row>
    <row r="334">
      <c r="B334" s="85"/>
      <c r="C334" s="85"/>
      <c r="E334" s="81" t="str">
        <f t="shared" si="1"/>
        <v/>
      </c>
      <c r="F334" s="84"/>
      <c r="G334" s="85"/>
      <c r="H334" s="85"/>
      <c r="L334" s="86"/>
      <c r="Q334" s="91"/>
      <c r="R334" s="87" t="str">
        <f>IF(LOWER(TRIM($Q334)) = LOWER(TRIM(Dashboard!$A$6)), B334, "")
</f>
        <v/>
      </c>
      <c r="S334" s="87" t="str">
        <f>IF(LOWER(TRIM($Q334)) = LOWER(TRIM(Dashboard!$A$6)), C334, "")
</f>
        <v/>
      </c>
    </row>
    <row r="335">
      <c r="B335" s="85"/>
      <c r="C335" s="85"/>
      <c r="E335" s="81" t="str">
        <f t="shared" si="1"/>
        <v/>
      </c>
      <c r="F335" s="84"/>
      <c r="G335" s="85"/>
      <c r="H335" s="85"/>
      <c r="L335" s="86"/>
      <c r="Q335" s="91"/>
      <c r="R335" s="87" t="str">
        <f>IF(LOWER(TRIM($Q335)) = LOWER(TRIM(Dashboard!$A$6)), B335, "")
</f>
        <v/>
      </c>
      <c r="S335" s="87" t="str">
        <f>IF(LOWER(TRIM($Q335)) = LOWER(TRIM(Dashboard!$A$6)), C335, "")
</f>
        <v/>
      </c>
    </row>
    <row r="336">
      <c r="B336" s="85"/>
      <c r="C336" s="85"/>
      <c r="E336" s="81" t="str">
        <f t="shared" si="1"/>
        <v/>
      </c>
      <c r="F336" s="84"/>
      <c r="G336" s="85"/>
      <c r="H336" s="85"/>
      <c r="L336" s="86"/>
      <c r="Q336" s="91"/>
      <c r="R336" s="87" t="str">
        <f>IF(LOWER(TRIM($Q336)) = LOWER(TRIM(Dashboard!$A$6)), B336, "")
</f>
        <v/>
      </c>
      <c r="S336" s="87" t="str">
        <f>IF(LOWER(TRIM($Q336)) = LOWER(TRIM(Dashboard!$A$6)), C336, "")
</f>
        <v/>
      </c>
    </row>
    <row r="337">
      <c r="B337" s="85"/>
      <c r="C337" s="85"/>
      <c r="E337" s="81" t="str">
        <f t="shared" si="1"/>
        <v/>
      </c>
      <c r="F337" s="84"/>
      <c r="G337" s="85"/>
      <c r="H337" s="85"/>
      <c r="L337" s="86"/>
      <c r="Q337" s="91"/>
      <c r="R337" s="87" t="str">
        <f>IF(LOWER(TRIM($Q337)) = LOWER(TRIM(Dashboard!$A$6)), B337, "")
</f>
        <v/>
      </c>
      <c r="S337" s="87" t="str">
        <f>IF(LOWER(TRIM($Q337)) = LOWER(TRIM(Dashboard!$A$6)), C337, "")
</f>
        <v/>
      </c>
    </row>
    <row r="338">
      <c r="B338" s="85"/>
      <c r="C338" s="85"/>
      <c r="E338" s="81" t="str">
        <f t="shared" si="1"/>
        <v/>
      </c>
      <c r="F338" s="84"/>
      <c r="G338" s="85"/>
      <c r="H338" s="85"/>
      <c r="L338" s="86"/>
      <c r="Q338" s="91"/>
      <c r="R338" s="87" t="str">
        <f>IF(LOWER(TRIM($Q338)) = LOWER(TRIM(Dashboard!$A$6)), B338, "")
</f>
        <v/>
      </c>
      <c r="S338" s="87" t="str">
        <f>IF(LOWER(TRIM($Q338)) = LOWER(TRIM(Dashboard!$A$6)), C338, "")
</f>
        <v/>
      </c>
    </row>
    <row r="339">
      <c r="B339" s="85"/>
      <c r="C339" s="85"/>
      <c r="E339" s="81" t="str">
        <f t="shared" si="1"/>
        <v/>
      </c>
      <c r="F339" s="84"/>
      <c r="G339" s="85"/>
      <c r="H339" s="85"/>
      <c r="L339" s="86"/>
      <c r="Q339" s="91"/>
      <c r="R339" s="87" t="str">
        <f>IF(LOWER(TRIM($Q339)) = LOWER(TRIM(Dashboard!$A$6)), B339, "")
</f>
        <v/>
      </c>
      <c r="S339" s="87" t="str">
        <f>IF(LOWER(TRIM($Q339)) = LOWER(TRIM(Dashboard!$A$6)), C339, "")
</f>
        <v/>
      </c>
    </row>
    <row r="340">
      <c r="B340" s="85"/>
      <c r="C340" s="85"/>
      <c r="E340" s="81" t="str">
        <f t="shared" si="1"/>
        <v/>
      </c>
      <c r="F340" s="84"/>
      <c r="G340" s="85"/>
      <c r="H340" s="85"/>
      <c r="L340" s="86"/>
      <c r="Q340" s="91"/>
      <c r="R340" s="87" t="str">
        <f>IF(LOWER(TRIM($Q340)) = LOWER(TRIM(Dashboard!$A$6)), B340, "")
</f>
        <v/>
      </c>
      <c r="S340" s="87" t="str">
        <f>IF(LOWER(TRIM($Q340)) = LOWER(TRIM(Dashboard!$A$6)), C340, "")
</f>
        <v/>
      </c>
    </row>
    <row r="341">
      <c r="B341" s="85"/>
      <c r="C341" s="85"/>
      <c r="E341" s="81" t="str">
        <f t="shared" si="1"/>
        <v/>
      </c>
      <c r="F341" s="84"/>
      <c r="G341" s="85"/>
      <c r="H341" s="85"/>
      <c r="L341" s="86"/>
      <c r="Q341" s="91"/>
      <c r="R341" s="87" t="str">
        <f>IF(LOWER(TRIM($Q341)) = LOWER(TRIM(Dashboard!$A$6)), B341, "")
</f>
        <v/>
      </c>
      <c r="S341" s="87" t="str">
        <f>IF(LOWER(TRIM($Q341)) = LOWER(TRIM(Dashboard!$A$6)), C341, "")
</f>
        <v/>
      </c>
    </row>
    <row r="342">
      <c r="B342" s="85"/>
      <c r="C342" s="85"/>
      <c r="E342" s="81" t="str">
        <f t="shared" si="1"/>
        <v/>
      </c>
      <c r="F342" s="84"/>
      <c r="G342" s="85"/>
      <c r="H342" s="85"/>
      <c r="L342" s="86"/>
      <c r="Q342" s="91"/>
      <c r="R342" s="87" t="str">
        <f>IF(LOWER(TRIM($Q342)) = LOWER(TRIM(Dashboard!$A$6)), B342, "")
</f>
        <v/>
      </c>
      <c r="S342" s="87" t="str">
        <f>IF(LOWER(TRIM($Q342)) = LOWER(TRIM(Dashboard!$A$6)), C342, "")
</f>
        <v/>
      </c>
    </row>
    <row r="343">
      <c r="B343" s="85"/>
      <c r="C343" s="85"/>
      <c r="E343" s="81" t="str">
        <f t="shared" si="1"/>
        <v/>
      </c>
      <c r="F343" s="84"/>
      <c r="G343" s="85"/>
      <c r="H343" s="85"/>
      <c r="L343" s="86"/>
      <c r="Q343" s="91"/>
      <c r="R343" s="87" t="str">
        <f>IF(LOWER(TRIM($Q343)) = LOWER(TRIM(Dashboard!$A$6)), B343, "")
</f>
        <v/>
      </c>
      <c r="S343" s="87" t="str">
        <f>IF(LOWER(TRIM($Q343)) = LOWER(TRIM(Dashboard!$A$6)), C343, "")
</f>
        <v/>
      </c>
    </row>
    <row r="344">
      <c r="B344" s="85"/>
      <c r="C344" s="85"/>
      <c r="E344" s="81" t="str">
        <f t="shared" si="1"/>
        <v/>
      </c>
      <c r="F344" s="84"/>
      <c r="G344" s="85"/>
      <c r="H344" s="85"/>
      <c r="L344" s="86"/>
      <c r="Q344" s="91"/>
      <c r="R344" s="87" t="str">
        <f>IF(LOWER(TRIM($Q344)) = LOWER(TRIM(Dashboard!$A$6)), B344, "")
</f>
        <v/>
      </c>
      <c r="S344" s="87" t="str">
        <f>IF(LOWER(TRIM($Q344)) = LOWER(TRIM(Dashboard!$A$6)), C344, "")
</f>
        <v/>
      </c>
    </row>
    <row r="345">
      <c r="B345" s="85"/>
      <c r="C345" s="85"/>
      <c r="E345" s="81" t="str">
        <f t="shared" si="1"/>
        <v/>
      </c>
      <c r="F345" s="84"/>
      <c r="G345" s="85"/>
      <c r="H345" s="85"/>
      <c r="L345" s="86"/>
      <c r="Q345" s="91"/>
      <c r="R345" s="87" t="str">
        <f>IF(LOWER(TRIM($Q345)) = LOWER(TRIM(Dashboard!$A$6)), B345, "")
</f>
        <v/>
      </c>
      <c r="S345" s="87" t="str">
        <f>IF(LOWER(TRIM($Q345)) = LOWER(TRIM(Dashboard!$A$6)), C345, "")
</f>
        <v/>
      </c>
    </row>
    <row r="346">
      <c r="B346" s="85"/>
      <c r="C346" s="85"/>
      <c r="E346" s="81" t="str">
        <f t="shared" si="1"/>
        <v/>
      </c>
      <c r="F346" s="84"/>
      <c r="G346" s="85"/>
      <c r="H346" s="85"/>
      <c r="L346" s="86"/>
      <c r="Q346" s="91"/>
      <c r="R346" s="87" t="str">
        <f>IF(LOWER(TRIM($Q346)) = LOWER(TRIM(Dashboard!$A$6)), B346, "")
</f>
        <v/>
      </c>
      <c r="S346" s="87" t="str">
        <f>IF(LOWER(TRIM($Q346)) = LOWER(TRIM(Dashboard!$A$6)), C346, "")
</f>
        <v/>
      </c>
    </row>
    <row r="347">
      <c r="B347" s="85"/>
      <c r="C347" s="85"/>
      <c r="E347" s="81" t="str">
        <f t="shared" si="1"/>
        <v/>
      </c>
      <c r="F347" s="84"/>
      <c r="G347" s="85"/>
      <c r="H347" s="85"/>
      <c r="L347" s="86"/>
      <c r="Q347" s="91"/>
      <c r="R347" s="87" t="str">
        <f>IF(LOWER(TRIM($Q347)) = LOWER(TRIM(Dashboard!$A$6)), B347, "")
</f>
        <v/>
      </c>
      <c r="S347" s="87" t="str">
        <f>IF(LOWER(TRIM($Q347)) = LOWER(TRIM(Dashboard!$A$6)), C347, "")
</f>
        <v/>
      </c>
    </row>
    <row r="348">
      <c r="B348" s="85"/>
      <c r="C348" s="85"/>
      <c r="E348" s="81" t="str">
        <f t="shared" si="1"/>
        <v/>
      </c>
      <c r="F348" s="84"/>
      <c r="G348" s="85"/>
      <c r="H348" s="85"/>
      <c r="L348" s="86"/>
      <c r="Q348" s="91"/>
      <c r="R348" s="87" t="str">
        <f>IF(LOWER(TRIM($Q348)) = LOWER(TRIM(Dashboard!$A$6)), B348, "")
</f>
        <v/>
      </c>
      <c r="S348" s="87" t="str">
        <f>IF(LOWER(TRIM($Q348)) = LOWER(TRIM(Dashboard!$A$6)), C348, "")
</f>
        <v/>
      </c>
    </row>
    <row r="349">
      <c r="B349" s="85"/>
      <c r="C349" s="85"/>
      <c r="E349" s="81" t="str">
        <f t="shared" si="1"/>
        <v/>
      </c>
      <c r="F349" s="84"/>
      <c r="G349" s="85"/>
      <c r="H349" s="85"/>
      <c r="L349" s="86"/>
      <c r="Q349" s="91"/>
      <c r="R349" s="87" t="str">
        <f>IF(LOWER(TRIM($Q349)) = LOWER(TRIM(Dashboard!$A$6)), B349, "")
</f>
        <v/>
      </c>
      <c r="S349" s="87" t="str">
        <f>IF(LOWER(TRIM($Q349)) = LOWER(TRIM(Dashboard!$A$6)), C349, "")
</f>
        <v/>
      </c>
    </row>
    <row r="350">
      <c r="B350" s="85"/>
      <c r="C350" s="85"/>
      <c r="E350" s="81" t="str">
        <f t="shared" si="1"/>
        <v/>
      </c>
      <c r="F350" s="84"/>
      <c r="G350" s="85"/>
      <c r="H350" s="85"/>
      <c r="L350" s="86"/>
      <c r="Q350" s="91"/>
      <c r="R350" s="87" t="str">
        <f>IF(LOWER(TRIM($Q350)) = LOWER(TRIM(Dashboard!$A$6)), B350, "")
</f>
        <v/>
      </c>
      <c r="S350" s="87" t="str">
        <f>IF(LOWER(TRIM($Q350)) = LOWER(TRIM(Dashboard!$A$6)), C350, "")
</f>
        <v/>
      </c>
    </row>
    <row r="351">
      <c r="B351" s="85"/>
      <c r="C351" s="85"/>
      <c r="E351" s="81" t="str">
        <f t="shared" si="1"/>
        <v/>
      </c>
      <c r="F351" s="84"/>
      <c r="G351" s="85"/>
      <c r="H351" s="85"/>
      <c r="L351" s="86"/>
      <c r="Q351" s="91"/>
      <c r="R351" s="87" t="str">
        <f>IF(LOWER(TRIM($Q351)) = LOWER(TRIM(Dashboard!$A$6)), B351, "")
</f>
        <v/>
      </c>
      <c r="S351" s="87" t="str">
        <f>IF(LOWER(TRIM($Q351)) = LOWER(TRIM(Dashboard!$A$6)), C351, "")
</f>
        <v/>
      </c>
    </row>
    <row r="352">
      <c r="B352" s="85"/>
      <c r="C352" s="85"/>
      <c r="E352" s="81" t="str">
        <f t="shared" si="1"/>
        <v/>
      </c>
      <c r="F352" s="84"/>
      <c r="G352" s="85"/>
      <c r="H352" s="85"/>
      <c r="L352" s="86"/>
      <c r="Q352" s="91"/>
      <c r="R352" s="87" t="str">
        <f>IF(LOWER(TRIM($Q352)) = LOWER(TRIM(Dashboard!$A$6)), B352, "")
</f>
        <v/>
      </c>
      <c r="S352" s="87" t="str">
        <f>IF(LOWER(TRIM($Q352)) = LOWER(TRIM(Dashboard!$A$6)), C352, "")
</f>
        <v/>
      </c>
    </row>
    <row r="353">
      <c r="B353" s="85"/>
      <c r="C353" s="85"/>
      <c r="E353" s="81" t="str">
        <f t="shared" si="1"/>
        <v/>
      </c>
      <c r="F353" s="84"/>
      <c r="G353" s="85"/>
      <c r="H353" s="85"/>
      <c r="L353" s="86"/>
      <c r="Q353" s="91"/>
      <c r="R353" s="87" t="str">
        <f>IF(LOWER(TRIM($Q353)) = LOWER(TRIM(Dashboard!$A$6)), B353, "")
</f>
        <v/>
      </c>
      <c r="S353" s="87" t="str">
        <f>IF(LOWER(TRIM($Q353)) = LOWER(TRIM(Dashboard!$A$6)), C353, "")
</f>
        <v/>
      </c>
    </row>
    <row r="354">
      <c r="B354" s="85"/>
      <c r="C354" s="85"/>
      <c r="E354" s="81" t="str">
        <f t="shared" si="1"/>
        <v/>
      </c>
      <c r="F354" s="84"/>
      <c r="G354" s="85"/>
      <c r="H354" s="85"/>
      <c r="L354" s="86"/>
      <c r="Q354" s="91"/>
      <c r="R354" s="87" t="str">
        <f>IF(LOWER(TRIM($Q354)) = LOWER(TRIM(Dashboard!$A$6)), B354, "")
</f>
        <v/>
      </c>
      <c r="S354" s="87" t="str">
        <f>IF(LOWER(TRIM($Q354)) = LOWER(TRIM(Dashboard!$A$6)), C354, "")
</f>
        <v/>
      </c>
    </row>
    <row r="355">
      <c r="B355" s="85"/>
      <c r="C355" s="85"/>
      <c r="E355" s="81" t="str">
        <f t="shared" si="1"/>
        <v/>
      </c>
      <c r="F355" s="84"/>
      <c r="G355" s="85"/>
      <c r="H355" s="85"/>
      <c r="L355" s="86"/>
      <c r="Q355" s="91"/>
      <c r="R355" s="87" t="str">
        <f>IF(LOWER(TRIM($Q355)) = LOWER(TRIM(Dashboard!$A$6)), B355, "")
</f>
        <v/>
      </c>
      <c r="S355" s="87" t="str">
        <f>IF(LOWER(TRIM($Q355)) = LOWER(TRIM(Dashboard!$A$6)), C355, "")
</f>
        <v/>
      </c>
    </row>
    <row r="356">
      <c r="B356" s="85"/>
      <c r="C356" s="85"/>
      <c r="E356" s="81" t="str">
        <f t="shared" si="1"/>
        <v/>
      </c>
      <c r="F356" s="84"/>
      <c r="G356" s="85"/>
      <c r="H356" s="85"/>
      <c r="L356" s="86"/>
      <c r="Q356" s="91"/>
      <c r="R356" s="87" t="str">
        <f>IF(LOWER(TRIM($Q356)) = LOWER(TRIM(Dashboard!$A$6)), B356, "")
</f>
        <v/>
      </c>
      <c r="S356" s="87" t="str">
        <f>IF(LOWER(TRIM($Q356)) = LOWER(TRIM(Dashboard!$A$6)), C356, "")
</f>
        <v/>
      </c>
    </row>
    <row r="357">
      <c r="B357" s="85"/>
      <c r="C357" s="85"/>
      <c r="E357" s="81" t="str">
        <f t="shared" si="1"/>
        <v/>
      </c>
      <c r="F357" s="84"/>
      <c r="G357" s="85"/>
      <c r="H357" s="85"/>
      <c r="L357" s="86"/>
      <c r="Q357" s="91"/>
      <c r="R357" s="87" t="str">
        <f>IF(LOWER(TRIM($Q357)) = LOWER(TRIM(Dashboard!$A$6)), B357, "")
</f>
        <v/>
      </c>
    </row>
    <row r="358">
      <c r="B358" s="85"/>
      <c r="C358" s="85"/>
      <c r="E358" s="81" t="str">
        <f t="shared" si="1"/>
        <v/>
      </c>
      <c r="F358" s="84"/>
      <c r="G358" s="85"/>
      <c r="H358" s="85"/>
      <c r="L358" s="86"/>
      <c r="Q358" s="91"/>
      <c r="R358" s="87" t="str">
        <f>IF(LOWER(TRIM($Q358)) = LOWER(TRIM(Dashboard!$A$6)), B358, "")
</f>
        <v/>
      </c>
    </row>
    <row r="359">
      <c r="B359" s="85"/>
      <c r="C359" s="85"/>
      <c r="E359" s="81" t="str">
        <f t="shared" si="1"/>
        <v/>
      </c>
      <c r="F359" s="84"/>
      <c r="G359" s="85"/>
      <c r="H359" s="85"/>
      <c r="L359" s="86"/>
      <c r="Q359" s="91"/>
      <c r="R359" s="87" t="str">
        <f>IF(LOWER(TRIM($Q359)) = LOWER(TRIM(Dashboard!$A$6)), B359, "")
</f>
        <v/>
      </c>
    </row>
    <row r="360">
      <c r="B360" s="85"/>
      <c r="C360" s="85"/>
      <c r="E360" s="81" t="str">
        <f t="shared" si="1"/>
        <v/>
      </c>
      <c r="F360" s="84"/>
      <c r="G360" s="85"/>
      <c r="H360" s="85"/>
      <c r="L360" s="86"/>
      <c r="Q360" s="91"/>
      <c r="R360" s="87" t="str">
        <f>IF(LOWER(TRIM($Q360)) = LOWER(TRIM(Dashboard!$A$6)), B360, "")
</f>
        <v/>
      </c>
    </row>
    <row r="361">
      <c r="B361" s="85"/>
      <c r="C361" s="85"/>
      <c r="E361" s="81" t="str">
        <f t="shared" si="1"/>
        <v/>
      </c>
      <c r="F361" s="84"/>
      <c r="G361" s="85"/>
      <c r="H361" s="85"/>
      <c r="L361" s="86"/>
      <c r="Q361" s="91"/>
      <c r="R361" s="87" t="str">
        <f>IF(LOWER(TRIM($Q361)) = LOWER(TRIM(Dashboard!$A$6)), B361, "")
</f>
        <v/>
      </c>
    </row>
    <row r="362">
      <c r="B362" s="85"/>
      <c r="C362" s="85"/>
      <c r="E362" s="81" t="str">
        <f t="shared" si="1"/>
        <v/>
      </c>
      <c r="F362" s="84"/>
      <c r="G362" s="85"/>
      <c r="H362" s="85"/>
      <c r="L362" s="86"/>
      <c r="Q362" s="91"/>
      <c r="R362" s="87" t="str">
        <f>IF(LOWER(TRIM($Q362)) = LOWER(TRIM(Dashboard!$A$6)), B362, "")
</f>
        <v/>
      </c>
    </row>
    <row r="363">
      <c r="B363" s="85"/>
      <c r="C363" s="85"/>
      <c r="E363" s="81" t="str">
        <f t="shared" si="1"/>
        <v/>
      </c>
      <c r="F363" s="84"/>
      <c r="G363" s="85"/>
      <c r="H363" s="85"/>
      <c r="L363" s="86"/>
      <c r="Q363" s="91"/>
      <c r="R363" s="87" t="str">
        <f>IF(LOWER(TRIM($Q363)) = LOWER(TRIM(Dashboard!$A$6)), B363, "")
</f>
        <v/>
      </c>
    </row>
    <row r="364">
      <c r="B364" s="85"/>
      <c r="C364" s="85"/>
      <c r="E364" s="81" t="str">
        <f t="shared" si="1"/>
        <v/>
      </c>
      <c r="F364" s="84"/>
      <c r="G364" s="85"/>
      <c r="H364" s="85"/>
      <c r="L364" s="86"/>
      <c r="Q364" s="91"/>
      <c r="R364" s="87" t="str">
        <f>IF(LOWER(TRIM($Q364)) = LOWER(TRIM(Dashboard!$A$6)), B364, "")
</f>
        <v/>
      </c>
    </row>
    <row r="365">
      <c r="B365" s="85"/>
      <c r="C365" s="85"/>
      <c r="E365" s="81" t="str">
        <f t="shared" si="1"/>
        <v/>
      </c>
      <c r="F365" s="84"/>
      <c r="G365" s="85"/>
      <c r="H365" s="85"/>
      <c r="L365" s="86"/>
      <c r="Q365" s="91"/>
      <c r="R365" s="87" t="str">
        <f>IF(LOWER(TRIM($Q365)) = LOWER(TRIM(Dashboard!$A$6)), B365, "")
</f>
        <v/>
      </c>
    </row>
    <row r="366">
      <c r="B366" s="85"/>
      <c r="C366" s="85"/>
      <c r="E366" s="81" t="str">
        <f t="shared" si="1"/>
        <v/>
      </c>
      <c r="F366" s="84"/>
      <c r="G366" s="85"/>
      <c r="H366" s="85"/>
      <c r="L366" s="86"/>
      <c r="Q366" s="91"/>
      <c r="R366" s="87" t="str">
        <f>IF(LOWER(TRIM($Q366)) = LOWER(TRIM(Dashboard!$A$6)), B366, "")
</f>
        <v/>
      </c>
    </row>
    <row r="367">
      <c r="B367" s="85"/>
      <c r="C367" s="85"/>
      <c r="E367" s="81" t="str">
        <f t="shared" si="1"/>
        <v/>
      </c>
      <c r="F367" s="84"/>
      <c r="G367" s="85"/>
      <c r="H367" s="85"/>
      <c r="L367" s="86"/>
      <c r="Q367" s="91"/>
      <c r="R367" s="87" t="str">
        <f>IF(LOWER(TRIM($Q367)) = LOWER(TRIM(Dashboard!$A$6)), B367, "")
</f>
        <v/>
      </c>
    </row>
    <row r="368">
      <c r="B368" s="85"/>
      <c r="C368" s="85"/>
      <c r="E368" s="81" t="str">
        <f t="shared" si="1"/>
        <v/>
      </c>
      <c r="F368" s="84"/>
      <c r="G368" s="85"/>
      <c r="H368" s="85"/>
      <c r="L368" s="86"/>
      <c r="Q368" s="91"/>
      <c r="R368" s="87" t="str">
        <f>IF(LOWER(TRIM($Q368)) = LOWER(TRIM(Dashboard!$A$6)), B368, "")
</f>
        <v/>
      </c>
    </row>
    <row r="369">
      <c r="B369" s="85"/>
      <c r="C369" s="85"/>
      <c r="E369" s="81" t="str">
        <f t="shared" si="1"/>
        <v/>
      </c>
      <c r="F369" s="84"/>
      <c r="G369" s="85"/>
      <c r="H369" s="85"/>
      <c r="L369" s="86"/>
      <c r="Q369" s="91"/>
      <c r="R369" s="87" t="str">
        <f>IF(LOWER(TRIM($Q369)) = LOWER(TRIM(Dashboard!$A$6)), B369, "")
</f>
        <v/>
      </c>
    </row>
    <row r="370">
      <c r="B370" s="85"/>
      <c r="C370" s="85"/>
      <c r="E370" s="81" t="str">
        <f t="shared" si="1"/>
        <v/>
      </c>
      <c r="F370" s="84"/>
      <c r="G370" s="85"/>
      <c r="H370" s="85"/>
      <c r="L370" s="86"/>
      <c r="Q370" s="91"/>
      <c r="R370" s="87" t="str">
        <f>IF(LOWER(TRIM($Q370)) = LOWER(TRIM(Dashboard!$A$6)), B370, "")
</f>
        <v/>
      </c>
    </row>
    <row r="371">
      <c r="B371" s="85"/>
      <c r="C371" s="85"/>
      <c r="E371" s="81" t="str">
        <f t="shared" si="1"/>
        <v/>
      </c>
      <c r="F371" s="84"/>
      <c r="G371" s="85"/>
      <c r="H371" s="85"/>
      <c r="L371" s="86"/>
      <c r="Q371" s="91"/>
      <c r="R371" s="87" t="str">
        <f>IF(LOWER(TRIM($Q371)) = LOWER(TRIM(Dashboard!$A$6)), B371, "")
</f>
        <v/>
      </c>
    </row>
    <row r="372">
      <c r="B372" s="85"/>
      <c r="C372" s="85"/>
      <c r="E372" s="81" t="str">
        <f t="shared" si="1"/>
        <v/>
      </c>
      <c r="F372" s="84"/>
      <c r="G372" s="85"/>
      <c r="H372" s="85"/>
      <c r="L372" s="86"/>
      <c r="Q372" s="91"/>
      <c r="R372" s="87" t="str">
        <f>IF(LOWER(TRIM($Q372)) = LOWER(TRIM(Dashboard!$A$6)), B372, "")
</f>
        <v/>
      </c>
    </row>
    <row r="373">
      <c r="B373" s="85"/>
      <c r="C373" s="85"/>
      <c r="E373" s="81" t="str">
        <f t="shared" si="1"/>
        <v/>
      </c>
      <c r="F373" s="84"/>
      <c r="G373" s="85"/>
      <c r="H373" s="85"/>
      <c r="L373" s="86"/>
      <c r="Q373" s="91"/>
      <c r="R373" s="87" t="str">
        <f>IF(LOWER(TRIM($Q373)) = LOWER(TRIM(Dashboard!$A$6)), B373, "")
</f>
        <v/>
      </c>
    </row>
    <row r="374">
      <c r="B374" s="85"/>
      <c r="C374" s="85"/>
      <c r="E374" s="81" t="str">
        <f t="shared" si="1"/>
        <v/>
      </c>
      <c r="F374" s="84"/>
      <c r="G374" s="85"/>
      <c r="H374" s="85"/>
      <c r="L374" s="86"/>
      <c r="Q374" s="91"/>
      <c r="R374" s="87" t="str">
        <f>IF(LOWER(TRIM($Q374)) = LOWER(TRIM(Dashboard!$A$6)), B374, "")
</f>
        <v/>
      </c>
    </row>
    <row r="375">
      <c r="B375" s="85"/>
      <c r="C375" s="85"/>
      <c r="E375" s="81" t="str">
        <f t="shared" si="1"/>
        <v/>
      </c>
      <c r="F375" s="84"/>
      <c r="G375" s="85"/>
      <c r="H375" s="85"/>
      <c r="L375" s="86"/>
      <c r="Q375" s="91"/>
      <c r="R375" s="87" t="str">
        <f>IF(LOWER(TRIM($Q375)) = LOWER(TRIM(Dashboard!$A$6)), B375, "")
</f>
        <v/>
      </c>
    </row>
    <row r="376">
      <c r="B376" s="85"/>
      <c r="C376" s="85"/>
      <c r="E376" s="81" t="str">
        <f t="shared" si="1"/>
        <v/>
      </c>
      <c r="F376" s="84"/>
      <c r="G376" s="85"/>
      <c r="H376" s="85"/>
      <c r="L376" s="86"/>
      <c r="Q376" s="91"/>
      <c r="R376" s="87" t="str">
        <f>IF(LOWER(TRIM($Q376)) = LOWER(TRIM(Dashboard!$A$6)), B376, "")
</f>
        <v/>
      </c>
    </row>
    <row r="377">
      <c r="B377" s="85"/>
      <c r="C377" s="85"/>
      <c r="E377" s="81" t="str">
        <f t="shared" si="1"/>
        <v/>
      </c>
      <c r="F377" s="84"/>
      <c r="G377" s="85"/>
      <c r="H377" s="85"/>
      <c r="L377" s="86"/>
      <c r="Q377" s="91"/>
      <c r="R377" s="87" t="str">
        <f>IF(LOWER(TRIM($Q377)) = LOWER(TRIM(Dashboard!$A$6)), B377, "")
</f>
        <v/>
      </c>
    </row>
    <row r="378">
      <c r="B378" s="85"/>
      <c r="C378" s="85"/>
      <c r="E378" s="81" t="str">
        <f t="shared" si="1"/>
        <v/>
      </c>
      <c r="F378" s="84"/>
      <c r="G378" s="85"/>
      <c r="H378" s="85"/>
      <c r="L378" s="86"/>
      <c r="Q378" s="91"/>
      <c r="R378" s="87" t="str">
        <f>IF(LOWER(TRIM($Q378)) = LOWER(TRIM(Dashboard!$A$6)), B378, "")
</f>
        <v/>
      </c>
    </row>
    <row r="379">
      <c r="B379" s="85"/>
      <c r="C379" s="85"/>
      <c r="E379" s="81" t="str">
        <f t="shared" si="1"/>
        <v/>
      </c>
      <c r="F379" s="84"/>
      <c r="G379" s="85"/>
      <c r="H379" s="85"/>
      <c r="L379" s="86"/>
      <c r="Q379" s="91"/>
      <c r="R379" s="87" t="str">
        <f>IF(LOWER(TRIM($Q379)) = LOWER(TRIM(Dashboard!$A$6)), B379, "")
</f>
        <v/>
      </c>
    </row>
    <row r="380">
      <c r="B380" s="85"/>
      <c r="C380" s="85"/>
      <c r="E380" s="81" t="str">
        <f t="shared" si="1"/>
        <v/>
      </c>
      <c r="F380" s="84"/>
      <c r="G380" s="85"/>
      <c r="H380" s="85"/>
      <c r="L380" s="86"/>
      <c r="Q380" s="91"/>
      <c r="R380" s="87" t="str">
        <f>IF(LOWER(TRIM($Q380)) = LOWER(TRIM(Dashboard!$A$6)), B380, "")
</f>
        <v/>
      </c>
    </row>
    <row r="381">
      <c r="B381" s="85"/>
      <c r="C381" s="85"/>
      <c r="E381" s="81" t="str">
        <f t="shared" si="1"/>
        <v/>
      </c>
      <c r="F381" s="84"/>
      <c r="G381" s="85"/>
      <c r="H381" s="85"/>
      <c r="L381" s="86"/>
      <c r="Q381" s="91"/>
      <c r="R381" s="87" t="str">
        <f>IF(LOWER(TRIM($Q381)) = LOWER(TRIM(Dashboard!$A$6)), B381, "")
</f>
        <v/>
      </c>
    </row>
    <row r="382">
      <c r="B382" s="85"/>
      <c r="C382" s="85"/>
      <c r="E382" s="81" t="str">
        <f t="shared" si="1"/>
        <v/>
      </c>
      <c r="F382" s="84"/>
      <c r="G382" s="85"/>
      <c r="H382" s="85"/>
      <c r="L382" s="86"/>
      <c r="Q382" s="91"/>
      <c r="R382" s="87" t="str">
        <f>IF(LOWER(TRIM($Q382)) = LOWER(TRIM(Dashboard!$A$6)), B382, "")
</f>
        <v/>
      </c>
    </row>
    <row r="383">
      <c r="B383" s="85"/>
      <c r="C383" s="85"/>
      <c r="E383" s="81" t="str">
        <f t="shared" si="1"/>
        <v/>
      </c>
      <c r="F383" s="84"/>
      <c r="G383" s="85"/>
      <c r="H383" s="85"/>
      <c r="L383" s="86"/>
      <c r="Q383" s="91"/>
      <c r="R383" s="87" t="str">
        <f>IF(LOWER(TRIM($Q383)) = LOWER(TRIM(Dashboard!$A$6)), B383, "")
</f>
        <v/>
      </c>
    </row>
    <row r="384">
      <c r="B384" s="85"/>
      <c r="C384" s="85"/>
      <c r="E384" s="81" t="str">
        <f t="shared" si="1"/>
        <v/>
      </c>
      <c r="F384" s="84"/>
      <c r="G384" s="85"/>
      <c r="H384" s="85"/>
      <c r="L384" s="86"/>
      <c r="Q384" s="91"/>
      <c r="R384" s="87" t="str">
        <f>IF(LOWER(TRIM($Q384)) = LOWER(TRIM(Dashboard!$A$6)), B384, "")
</f>
        <v/>
      </c>
    </row>
    <row r="385">
      <c r="B385" s="85"/>
      <c r="C385" s="85"/>
      <c r="E385" s="81" t="str">
        <f t="shared" si="1"/>
        <v/>
      </c>
      <c r="F385" s="84"/>
      <c r="G385" s="85"/>
      <c r="H385" s="85"/>
      <c r="L385" s="86"/>
      <c r="Q385" s="91"/>
      <c r="R385" s="87" t="str">
        <f>IF(LOWER(TRIM($Q385)) = LOWER(TRIM(Dashboard!$A$6)), B385, "")
</f>
        <v/>
      </c>
    </row>
    <row r="386">
      <c r="B386" s="85"/>
      <c r="C386" s="85"/>
      <c r="E386" s="81" t="str">
        <f t="shared" si="1"/>
        <v/>
      </c>
      <c r="F386" s="84"/>
      <c r="G386" s="85"/>
      <c r="H386" s="85"/>
      <c r="L386" s="86"/>
      <c r="Q386" s="91"/>
      <c r="R386" s="87" t="str">
        <f>IF(LOWER(TRIM($Q386)) = LOWER(TRIM(Dashboard!$A$6)), B386, "")
</f>
        <v/>
      </c>
    </row>
    <row r="387">
      <c r="B387" s="85"/>
      <c r="C387" s="85"/>
      <c r="E387" s="81" t="str">
        <f t="shared" si="1"/>
        <v/>
      </c>
      <c r="F387" s="84"/>
      <c r="G387" s="85"/>
      <c r="H387" s="85"/>
      <c r="L387" s="86"/>
      <c r="Q387" s="91"/>
      <c r="R387" s="87" t="str">
        <f>IF(LOWER(TRIM($Q387)) = LOWER(TRIM(Dashboard!$A$6)), B387, "")
</f>
        <v/>
      </c>
    </row>
    <row r="388">
      <c r="B388" s="85"/>
      <c r="C388" s="85"/>
      <c r="E388" s="81" t="str">
        <f t="shared" si="1"/>
        <v/>
      </c>
      <c r="F388" s="84"/>
      <c r="G388" s="85"/>
      <c r="H388" s="85"/>
      <c r="L388" s="86"/>
      <c r="Q388" s="91"/>
      <c r="R388" s="87" t="str">
        <f>IF(LOWER(TRIM($Q388)) = LOWER(TRIM(Dashboard!$A$6)), B388, "")
</f>
        <v/>
      </c>
    </row>
    <row r="389">
      <c r="B389" s="85"/>
      <c r="C389" s="85"/>
      <c r="E389" s="81" t="str">
        <f t="shared" si="1"/>
        <v/>
      </c>
      <c r="F389" s="84"/>
      <c r="G389" s="85"/>
      <c r="H389" s="85"/>
      <c r="L389" s="86"/>
      <c r="Q389" s="91"/>
      <c r="R389" s="87" t="str">
        <f>IF(LOWER(TRIM($Q389)) = LOWER(TRIM(Dashboard!$A$6)), B389, "")
</f>
        <v/>
      </c>
    </row>
    <row r="390">
      <c r="B390" s="85"/>
      <c r="C390" s="85"/>
      <c r="E390" s="81" t="str">
        <f t="shared" si="1"/>
        <v/>
      </c>
      <c r="F390" s="84"/>
      <c r="G390" s="85"/>
      <c r="H390" s="85"/>
      <c r="L390" s="86"/>
      <c r="Q390" s="91"/>
      <c r="R390" s="87" t="str">
        <f>IF(LOWER(TRIM($Q390)) = LOWER(TRIM(Dashboard!$A$6)), B390, "")
</f>
        <v/>
      </c>
    </row>
    <row r="391">
      <c r="B391" s="85"/>
      <c r="C391" s="85"/>
      <c r="E391" s="81" t="str">
        <f t="shared" si="1"/>
        <v/>
      </c>
      <c r="F391" s="84"/>
      <c r="G391" s="85"/>
      <c r="H391" s="85"/>
      <c r="L391" s="86"/>
      <c r="Q391" s="91"/>
      <c r="R391" s="87" t="str">
        <f>IF(LOWER(TRIM($Q391)) = LOWER(TRIM(Dashboard!$A$6)), B391, "")
</f>
        <v/>
      </c>
    </row>
    <row r="392">
      <c r="B392" s="85"/>
      <c r="C392" s="85"/>
      <c r="E392" s="81" t="str">
        <f t="shared" si="1"/>
        <v/>
      </c>
      <c r="F392" s="84"/>
      <c r="G392" s="85"/>
      <c r="H392" s="85"/>
      <c r="L392" s="86"/>
      <c r="Q392" s="91"/>
      <c r="R392" s="87" t="str">
        <f>IF(LOWER(TRIM($Q392)) = LOWER(TRIM(Dashboard!$A$6)), B392, "")
</f>
        <v/>
      </c>
    </row>
    <row r="393">
      <c r="B393" s="85"/>
      <c r="C393" s="85"/>
      <c r="E393" s="81" t="str">
        <f t="shared" si="1"/>
        <v/>
      </c>
      <c r="F393" s="84"/>
      <c r="G393" s="85"/>
      <c r="H393" s="85"/>
      <c r="L393" s="86"/>
      <c r="Q393" s="91"/>
      <c r="R393" s="87" t="str">
        <f>IF(LOWER(TRIM($Q393)) = LOWER(TRIM(Dashboard!$A$6)), B393, "")
</f>
        <v/>
      </c>
    </row>
    <row r="394">
      <c r="B394" s="85"/>
      <c r="C394" s="85"/>
      <c r="E394" s="81" t="str">
        <f t="shared" si="1"/>
        <v/>
      </c>
      <c r="F394" s="84"/>
      <c r="G394" s="85"/>
      <c r="H394" s="85"/>
      <c r="L394" s="86"/>
      <c r="Q394" s="91"/>
      <c r="R394" s="87" t="str">
        <f>IF(LOWER(TRIM($Q394)) = LOWER(TRIM(Dashboard!$A$6)), B394, "")
</f>
        <v/>
      </c>
    </row>
    <row r="395">
      <c r="B395" s="85"/>
      <c r="C395" s="85"/>
      <c r="E395" s="81" t="str">
        <f t="shared" si="1"/>
        <v/>
      </c>
      <c r="F395" s="84"/>
      <c r="G395" s="85"/>
      <c r="H395" s="85"/>
      <c r="L395" s="86"/>
      <c r="Q395" s="91"/>
      <c r="R395" s="87" t="str">
        <f>IF(LOWER(TRIM($Q395)) = LOWER(TRIM(Dashboard!$A$6)), B395, "")
</f>
        <v/>
      </c>
    </row>
    <row r="396">
      <c r="B396" s="85"/>
      <c r="C396" s="85"/>
      <c r="E396" s="81" t="str">
        <f t="shared" si="1"/>
        <v/>
      </c>
      <c r="F396" s="84"/>
      <c r="G396" s="85"/>
      <c r="H396" s="85"/>
      <c r="L396" s="86"/>
      <c r="Q396" s="91"/>
      <c r="R396" s="87" t="str">
        <f>IF(LOWER(TRIM($Q396)) = LOWER(TRIM(Dashboard!$A$6)), B396, "")
</f>
        <v/>
      </c>
    </row>
    <row r="397">
      <c r="B397" s="85"/>
      <c r="C397" s="85"/>
      <c r="E397" s="81" t="str">
        <f t="shared" si="1"/>
        <v/>
      </c>
      <c r="F397" s="84"/>
      <c r="G397" s="85"/>
      <c r="H397" s="85"/>
      <c r="L397" s="86"/>
      <c r="Q397" s="91"/>
      <c r="R397" s="87" t="str">
        <f>IF(LOWER(TRIM($Q397)) = LOWER(TRIM(Dashboard!$A$6)), B397, "")
</f>
        <v/>
      </c>
    </row>
    <row r="398">
      <c r="B398" s="85"/>
      <c r="C398" s="85"/>
      <c r="E398" s="81" t="str">
        <f t="shared" si="1"/>
        <v/>
      </c>
      <c r="F398" s="84"/>
      <c r="G398" s="85"/>
      <c r="H398" s="85"/>
      <c r="L398" s="86"/>
      <c r="Q398" s="91"/>
      <c r="R398" s="87" t="str">
        <f>IF(LOWER(TRIM($Q398)) = LOWER(TRIM(Dashboard!$A$6)), B398, "")
</f>
        <v/>
      </c>
    </row>
    <row r="399">
      <c r="B399" s="85"/>
      <c r="C399" s="85"/>
      <c r="E399" s="81" t="str">
        <f t="shared" si="1"/>
        <v/>
      </c>
      <c r="F399" s="84"/>
      <c r="G399" s="85"/>
      <c r="H399" s="85"/>
      <c r="L399" s="86"/>
      <c r="Q399" s="91"/>
      <c r="R399" s="87" t="str">
        <f>IF(LOWER(TRIM($Q399)) = LOWER(TRIM(Dashboard!$A$6)), B399, "")
</f>
        <v/>
      </c>
    </row>
    <row r="400">
      <c r="B400" s="85"/>
      <c r="C400" s="85"/>
      <c r="E400" s="81" t="str">
        <f t="shared" si="1"/>
        <v/>
      </c>
      <c r="F400" s="84"/>
      <c r="G400" s="85"/>
      <c r="H400" s="85"/>
      <c r="L400" s="86"/>
      <c r="Q400" s="91"/>
      <c r="R400" s="87" t="str">
        <f>IF(LOWER(TRIM($Q400)) = LOWER(TRIM(Dashboard!$A$6)), B400, "")
</f>
        <v/>
      </c>
    </row>
    <row r="401">
      <c r="B401" s="85"/>
      <c r="C401" s="85"/>
      <c r="E401" s="81" t="str">
        <f t="shared" si="1"/>
        <v/>
      </c>
      <c r="F401" s="84"/>
      <c r="G401" s="85"/>
      <c r="H401" s="85"/>
      <c r="L401" s="86"/>
      <c r="Q401" s="91"/>
      <c r="R401" s="87" t="str">
        <f>IF(LOWER(TRIM($Q401)) = LOWER(TRIM(Dashboard!$A$6)), B401, "")
</f>
        <v/>
      </c>
    </row>
    <row r="402">
      <c r="B402" s="85"/>
      <c r="C402" s="85"/>
      <c r="E402" s="81" t="str">
        <f t="shared" si="1"/>
        <v/>
      </c>
      <c r="F402" s="84"/>
      <c r="G402" s="85"/>
      <c r="H402" s="85"/>
      <c r="L402" s="86"/>
      <c r="Q402" s="91"/>
      <c r="R402" s="87" t="str">
        <f>IF(LOWER(TRIM($Q402)) = LOWER(TRIM(Dashboard!$A$6)), B402, "")
</f>
        <v/>
      </c>
    </row>
    <row r="403">
      <c r="B403" s="85"/>
      <c r="C403" s="85"/>
      <c r="E403" s="81" t="str">
        <f t="shared" si="1"/>
        <v/>
      </c>
      <c r="F403" s="84"/>
      <c r="G403" s="85"/>
      <c r="H403" s="85"/>
      <c r="L403" s="86"/>
      <c r="Q403" s="91"/>
      <c r="R403" s="87" t="str">
        <f>IF(LOWER(TRIM($Q403)) = LOWER(TRIM(Dashboard!$A$6)), B403, "")
</f>
        <v/>
      </c>
    </row>
    <row r="404">
      <c r="B404" s="85"/>
      <c r="C404" s="85"/>
      <c r="E404" s="81" t="str">
        <f t="shared" si="1"/>
        <v/>
      </c>
      <c r="F404" s="84"/>
      <c r="G404" s="85"/>
      <c r="H404" s="85"/>
      <c r="L404" s="86"/>
      <c r="Q404" s="91"/>
      <c r="R404" s="87" t="str">
        <f>IF(LOWER(TRIM($Q404)) = LOWER(TRIM(Dashboard!$A$6)), B404, "")
</f>
        <v/>
      </c>
    </row>
    <row r="405">
      <c r="B405" s="85"/>
      <c r="C405" s="85"/>
      <c r="E405" s="81" t="str">
        <f t="shared" si="1"/>
        <v/>
      </c>
      <c r="F405" s="84"/>
      <c r="G405" s="85"/>
      <c r="H405" s="85"/>
      <c r="L405" s="86"/>
      <c r="Q405" s="91"/>
      <c r="R405" s="87" t="str">
        <f>IF(LOWER(TRIM($Q405)) = LOWER(TRIM(Dashboard!$A$6)), B405, "")
</f>
        <v/>
      </c>
    </row>
    <row r="406">
      <c r="B406" s="85"/>
      <c r="C406" s="85"/>
      <c r="E406" s="81" t="str">
        <f t="shared" si="1"/>
        <v/>
      </c>
      <c r="F406" s="84"/>
      <c r="G406" s="85"/>
      <c r="H406" s="85"/>
      <c r="L406" s="86"/>
      <c r="Q406" s="91"/>
      <c r="R406" s="87" t="str">
        <f>IF(LOWER(TRIM($Q406)) = LOWER(TRIM(Dashboard!$A$6)), B406, "")
</f>
        <v/>
      </c>
    </row>
    <row r="407">
      <c r="B407" s="85"/>
      <c r="C407" s="85"/>
      <c r="E407" s="81" t="str">
        <f t="shared" si="1"/>
        <v/>
      </c>
      <c r="F407" s="84"/>
      <c r="G407" s="85"/>
      <c r="H407" s="85"/>
      <c r="L407" s="86"/>
      <c r="Q407" s="91"/>
      <c r="R407" s="87" t="str">
        <f>IF(LOWER(TRIM($Q407)) = LOWER(TRIM(Dashboard!$A$6)), B407, "")
</f>
        <v/>
      </c>
    </row>
    <row r="408">
      <c r="B408" s="85"/>
      <c r="C408" s="85"/>
      <c r="E408" s="81" t="str">
        <f t="shared" si="1"/>
        <v/>
      </c>
      <c r="F408" s="84"/>
      <c r="G408" s="85"/>
      <c r="H408" s="85"/>
      <c r="L408" s="86"/>
      <c r="Q408" s="91"/>
      <c r="R408" s="87" t="str">
        <f>IF(LOWER(TRIM($Q408)) = LOWER(TRIM(Dashboard!$A$6)), B408, "")
</f>
        <v/>
      </c>
    </row>
    <row r="409">
      <c r="B409" s="85"/>
      <c r="C409" s="85"/>
      <c r="E409" s="81" t="str">
        <f t="shared" si="1"/>
        <v/>
      </c>
      <c r="F409" s="84"/>
      <c r="G409" s="85"/>
      <c r="H409" s="85"/>
      <c r="L409" s="86"/>
      <c r="Q409" s="91"/>
      <c r="R409" s="87" t="str">
        <f>IF(LOWER(TRIM($Q409)) = LOWER(TRIM(Dashboard!$A$6)), B409, "")
</f>
        <v/>
      </c>
    </row>
    <row r="410">
      <c r="B410" s="85"/>
      <c r="C410" s="85"/>
      <c r="E410" s="81" t="str">
        <f t="shared" si="1"/>
        <v/>
      </c>
      <c r="F410" s="84"/>
      <c r="G410" s="85"/>
      <c r="H410" s="85"/>
      <c r="L410" s="86"/>
      <c r="Q410" s="91"/>
    </row>
    <row r="411">
      <c r="B411" s="85"/>
      <c r="C411" s="85"/>
      <c r="E411" s="81" t="str">
        <f t="shared" si="1"/>
        <v/>
      </c>
      <c r="F411" s="84"/>
      <c r="G411" s="85"/>
      <c r="H411" s="85"/>
      <c r="L411" s="86"/>
      <c r="Q411" s="91"/>
    </row>
    <row r="412">
      <c r="B412" s="85"/>
      <c r="C412" s="85"/>
      <c r="E412" s="81" t="str">
        <f t="shared" si="1"/>
        <v/>
      </c>
      <c r="F412" s="84"/>
      <c r="G412" s="85"/>
      <c r="H412" s="85"/>
      <c r="L412" s="86"/>
      <c r="Q412" s="91"/>
    </row>
    <row r="413">
      <c r="B413" s="85"/>
      <c r="C413" s="85"/>
      <c r="E413" s="81" t="str">
        <f t="shared" si="1"/>
        <v/>
      </c>
      <c r="F413" s="84"/>
      <c r="G413" s="85"/>
      <c r="H413" s="85"/>
      <c r="L413" s="86"/>
      <c r="Q413" s="91"/>
    </row>
    <row r="414">
      <c r="B414" s="85"/>
      <c r="C414" s="85"/>
      <c r="E414" s="81" t="str">
        <f t="shared" si="1"/>
        <v/>
      </c>
      <c r="F414" s="84"/>
      <c r="G414" s="85"/>
      <c r="H414" s="85"/>
      <c r="L414" s="86"/>
      <c r="Q414" s="91"/>
    </row>
    <row r="415">
      <c r="B415" s="85"/>
      <c r="C415" s="85"/>
      <c r="E415" s="81" t="str">
        <f t="shared" si="1"/>
        <v/>
      </c>
      <c r="F415" s="84"/>
      <c r="G415" s="85"/>
      <c r="H415" s="85"/>
      <c r="L415" s="86"/>
      <c r="Q415" s="91"/>
    </row>
    <row r="416">
      <c r="B416" s="85"/>
      <c r="C416" s="85"/>
      <c r="E416" s="81" t="str">
        <f t="shared" si="1"/>
        <v/>
      </c>
      <c r="F416" s="84"/>
      <c r="G416" s="85"/>
      <c r="H416" s="85"/>
      <c r="L416" s="86"/>
      <c r="Q416" s="91"/>
    </row>
    <row r="417">
      <c r="B417" s="85"/>
      <c r="C417" s="85"/>
      <c r="E417" s="81" t="str">
        <f t="shared" si="1"/>
        <v/>
      </c>
      <c r="F417" s="84"/>
      <c r="G417" s="85"/>
      <c r="H417" s="85"/>
      <c r="L417" s="86"/>
      <c r="Q417" s="91"/>
    </row>
    <row r="418">
      <c r="B418" s="85"/>
      <c r="C418" s="85"/>
      <c r="E418" s="81" t="str">
        <f t="shared" si="1"/>
        <v/>
      </c>
      <c r="F418" s="84"/>
      <c r="G418" s="85"/>
      <c r="H418" s="85"/>
      <c r="L418" s="86"/>
      <c r="Q418" s="91"/>
    </row>
    <row r="419">
      <c r="B419" s="85"/>
      <c r="C419" s="85"/>
      <c r="E419" s="81" t="str">
        <f t="shared" si="1"/>
        <v/>
      </c>
      <c r="F419" s="84"/>
      <c r="G419" s="85"/>
      <c r="H419" s="85"/>
      <c r="L419" s="86"/>
      <c r="Q419" s="91"/>
    </row>
    <row r="420">
      <c r="B420" s="85"/>
      <c r="C420" s="85"/>
      <c r="E420" s="81" t="str">
        <f t="shared" si="1"/>
        <v/>
      </c>
      <c r="F420" s="84"/>
      <c r="G420" s="85"/>
      <c r="H420" s="85"/>
      <c r="L420" s="86"/>
      <c r="Q420" s="91"/>
    </row>
    <row r="421">
      <c r="B421" s="85"/>
      <c r="C421" s="85"/>
      <c r="E421" s="81" t="str">
        <f t="shared" si="1"/>
        <v/>
      </c>
      <c r="F421" s="84"/>
      <c r="G421" s="85"/>
      <c r="H421" s="85"/>
      <c r="L421" s="86"/>
      <c r="Q421" s="91"/>
    </row>
    <row r="422">
      <c r="B422" s="85"/>
      <c r="C422" s="85"/>
      <c r="E422" s="81" t="str">
        <f t="shared" si="1"/>
        <v/>
      </c>
      <c r="F422" s="84"/>
      <c r="G422" s="85"/>
      <c r="H422" s="85"/>
      <c r="L422" s="86"/>
      <c r="Q422" s="91"/>
    </row>
    <row r="423">
      <c r="B423" s="85"/>
      <c r="C423" s="85"/>
      <c r="E423" s="81" t="str">
        <f t="shared" si="1"/>
        <v/>
      </c>
      <c r="F423" s="84"/>
      <c r="G423" s="85"/>
      <c r="H423" s="85"/>
      <c r="L423" s="86"/>
      <c r="Q423" s="91"/>
    </row>
    <row r="424">
      <c r="B424" s="85"/>
      <c r="C424" s="85"/>
      <c r="E424" s="81" t="str">
        <f t="shared" si="1"/>
        <v/>
      </c>
      <c r="F424" s="84"/>
      <c r="G424" s="85"/>
      <c r="H424" s="85"/>
      <c r="L424" s="86"/>
      <c r="Q424" s="91"/>
    </row>
    <row r="425">
      <c r="B425" s="85"/>
      <c r="C425" s="85"/>
      <c r="E425" s="81" t="str">
        <f t="shared" si="1"/>
        <v/>
      </c>
      <c r="F425" s="84"/>
      <c r="G425" s="85"/>
      <c r="H425" s="85"/>
      <c r="L425" s="86"/>
      <c r="Q425" s="91"/>
    </row>
    <row r="426">
      <c r="B426" s="85"/>
      <c r="C426" s="85"/>
      <c r="E426" s="81" t="str">
        <f t="shared" si="1"/>
        <v/>
      </c>
      <c r="F426" s="84"/>
      <c r="G426" s="85"/>
      <c r="H426" s="85"/>
      <c r="L426" s="86"/>
      <c r="Q426" s="91"/>
    </row>
    <row r="427">
      <c r="B427" s="85"/>
      <c r="C427" s="85"/>
      <c r="E427" s="81" t="str">
        <f t="shared" si="1"/>
        <v/>
      </c>
      <c r="F427" s="84"/>
      <c r="G427" s="85"/>
      <c r="H427" s="85"/>
      <c r="L427" s="86"/>
      <c r="Q427" s="91"/>
    </row>
    <row r="428">
      <c r="B428" s="85"/>
      <c r="C428" s="85"/>
      <c r="E428" s="81" t="str">
        <f t="shared" si="1"/>
        <v/>
      </c>
      <c r="F428" s="84"/>
      <c r="G428" s="85"/>
      <c r="H428" s="85"/>
      <c r="L428" s="86"/>
      <c r="Q428" s="91"/>
    </row>
    <row r="429">
      <c r="B429" s="85"/>
      <c r="C429" s="85"/>
      <c r="E429" s="81" t="str">
        <f t="shared" si="1"/>
        <v/>
      </c>
      <c r="F429" s="84"/>
      <c r="G429" s="85"/>
      <c r="H429" s="85"/>
      <c r="L429" s="86"/>
      <c r="Q429" s="91"/>
    </row>
    <row r="430">
      <c r="B430" s="85"/>
      <c r="C430" s="85"/>
      <c r="E430" s="81" t="str">
        <f t="shared" si="1"/>
        <v/>
      </c>
      <c r="F430" s="84"/>
      <c r="G430" s="85"/>
      <c r="H430" s="85"/>
      <c r="L430" s="86"/>
      <c r="Q430" s="91"/>
    </row>
    <row r="431">
      <c r="B431" s="85"/>
      <c r="C431" s="85"/>
      <c r="E431" s="81" t="str">
        <f t="shared" si="1"/>
        <v/>
      </c>
      <c r="F431" s="84"/>
      <c r="G431" s="85"/>
      <c r="H431" s="85"/>
      <c r="L431" s="86"/>
      <c r="Q431" s="91"/>
    </row>
    <row r="432">
      <c r="B432" s="85"/>
      <c r="C432" s="85"/>
      <c r="E432" s="81" t="str">
        <f t="shared" si="1"/>
        <v/>
      </c>
      <c r="F432" s="84"/>
      <c r="G432" s="85"/>
      <c r="H432" s="85"/>
      <c r="L432" s="86"/>
      <c r="Q432" s="91"/>
    </row>
    <row r="433">
      <c r="B433" s="85"/>
      <c r="C433" s="85"/>
      <c r="E433" s="81" t="str">
        <f t="shared" si="1"/>
        <v/>
      </c>
      <c r="F433" s="84"/>
      <c r="G433" s="85"/>
      <c r="H433" s="85"/>
      <c r="L433" s="86"/>
      <c r="Q433" s="91"/>
    </row>
    <row r="434">
      <c r="B434" s="85"/>
      <c r="C434" s="85"/>
      <c r="E434" s="81" t="str">
        <f t="shared" si="1"/>
        <v/>
      </c>
      <c r="F434" s="84"/>
      <c r="G434" s="85"/>
      <c r="H434" s="85"/>
      <c r="L434" s="86"/>
      <c r="Q434" s="91"/>
    </row>
    <row r="435">
      <c r="B435" s="85"/>
      <c r="C435" s="85"/>
      <c r="E435" s="81" t="str">
        <f t="shared" si="1"/>
        <v/>
      </c>
      <c r="F435" s="84"/>
      <c r="G435" s="85"/>
      <c r="H435" s="85"/>
      <c r="L435" s="86"/>
      <c r="Q435" s="91"/>
    </row>
    <row r="436">
      <c r="B436" s="85"/>
      <c r="C436" s="85"/>
      <c r="E436" s="81" t="str">
        <f t="shared" si="1"/>
        <v/>
      </c>
      <c r="F436" s="84"/>
      <c r="G436" s="85"/>
      <c r="H436" s="85"/>
      <c r="L436" s="86"/>
      <c r="Q436" s="91"/>
    </row>
    <row r="437">
      <c r="B437" s="85"/>
      <c r="C437" s="85"/>
      <c r="E437" s="81" t="str">
        <f t="shared" si="1"/>
        <v/>
      </c>
      <c r="F437" s="84"/>
      <c r="G437" s="85"/>
      <c r="H437" s="85"/>
      <c r="L437" s="86"/>
      <c r="Q437" s="91"/>
    </row>
    <row r="438">
      <c r="B438" s="85"/>
      <c r="C438" s="85"/>
      <c r="E438" s="81" t="str">
        <f t="shared" si="1"/>
        <v/>
      </c>
      <c r="F438" s="84"/>
      <c r="G438" s="85"/>
      <c r="H438" s="85"/>
      <c r="L438" s="86"/>
      <c r="Q438" s="91"/>
    </row>
    <row r="439">
      <c r="B439" s="85"/>
      <c r="C439" s="85"/>
      <c r="E439" s="81" t="str">
        <f t="shared" si="1"/>
        <v/>
      </c>
      <c r="F439" s="84"/>
      <c r="G439" s="85"/>
      <c r="H439" s="85"/>
      <c r="L439" s="86"/>
      <c r="Q439" s="91"/>
    </row>
    <row r="440">
      <c r="B440" s="85"/>
      <c r="C440" s="85"/>
      <c r="E440" s="81" t="str">
        <f t="shared" si="1"/>
        <v/>
      </c>
      <c r="F440" s="84"/>
      <c r="G440" s="85"/>
      <c r="H440" s="85"/>
      <c r="L440" s="86"/>
      <c r="Q440" s="91"/>
    </row>
    <row r="441">
      <c r="B441" s="85"/>
      <c r="C441" s="85"/>
      <c r="E441" s="81" t="str">
        <f t="shared" si="1"/>
        <v/>
      </c>
      <c r="F441" s="84"/>
      <c r="G441" s="85"/>
      <c r="H441" s="85"/>
      <c r="L441" s="86"/>
      <c r="Q441" s="91"/>
    </row>
    <row r="442">
      <c r="B442" s="85"/>
      <c r="C442" s="85"/>
      <c r="E442" s="81" t="str">
        <f t="shared" si="1"/>
        <v/>
      </c>
      <c r="F442" s="84"/>
      <c r="G442" s="85"/>
      <c r="H442" s="85"/>
      <c r="L442" s="86"/>
      <c r="Q442" s="91"/>
    </row>
    <row r="443">
      <c r="B443" s="85"/>
      <c r="C443" s="85"/>
      <c r="E443" s="81" t="str">
        <f t="shared" si="1"/>
        <v/>
      </c>
      <c r="F443" s="84"/>
      <c r="G443" s="85"/>
      <c r="H443" s="85"/>
      <c r="L443" s="86"/>
      <c r="Q443" s="91"/>
    </row>
    <row r="444">
      <c r="B444" s="85"/>
      <c r="C444" s="85"/>
      <c r="E444" s="81" t="str">
        <f t="shared" si="1"/>
        <v/>
      </c>
      <c r="F444" s="84"/>
      <c r="G444" s="85"/>
      <c r="H444" s="85"/>
      <c r="L444" s="86"/>
      <c r="Q444" s="91"/>
    </row>
    <row r="445">
      <c r="B445" s="85"/>
      <c r="C445" s="85"/>
      <c r="E445" s="81" t="str">
        <f t="shared" si="1"/>
        <v/>
      </c>
      <c r="F445" s="84"/>
      <c r="G445" s="85"/>
      <c r="H445" s="85"/>
      <c r="L445" s="86"/>
      <c r="Q445" s="91"/>
    </row>
    <row r="446">
      <c r="B446" s="85"/>
      <c r="C446" s="85"/>
      <c r="E446" s="81" t="str">
        <f t="shared" si="1"/>
        <v/>
      </c>
      <c r="F446" s="84"/>
      <c r="G446" s="85"/>
      <c r="H446" s="85"/>
      <c r="L446" s="86"/>
      <c r="Q446" s="91"/>
    </row>
    <row r="447">
      <c r="B447" s="85"/>
      <c r="C447" s="85"/>
      <c r="E447" s="81" t="str">
        <f t="shared" si="1"/>
        <v/>
      </c>
      <c r="F447" s="84"/>
      <c r="G447" s="85"/>
      <c r="H447" s="85"/>
      <c r="L447" s="86"/>
      <c r="Q447" s="91"/>
    </row>
    <row r="448">
      <c r="B448" s="85"/>
      <c r="C448" s="85"/>
      <c r="E448" s="81" t="str">
        <f t="shared" si="1"/>
        <v/>
      </c>
      <c r="F448" s="84"/>
      <c r="G448" s="85"/>
      <c r="H448" s="85"/>
      <c r="L448" s="86"/>
      <c r="Q448" s="91"/>
    </row>
    <row r="449">
      <c r="B449" s="85"/>
      <c r="C449" s="85"/>
      <c r="E449" s="81" t="str">
        <f t="shared" si="1"/>
        <v/>
      </c>
      <c r="F449" s="84"/>
      <c r="G449" s="85"/>
      <c r="H449" s="85"/>
      <c r="L449" s="86"/>
      <c r="Q449" s="91"/>
    </row>
    <row r="450">
      <c r="B450" s="85"/>
      <c r="C450" s="85"/>
      <c r="E450" s="81" t="str">
        <f t="shared" si="1"/>
        <v/>
      </c>
      <c r="F450" s="84"/>
      <c r="G450" s="85"/>
      <c r="H450" s="85"/>
      <c r="L450" s="86"/>
      <c r="Q450" s="91"/>
    </row>
    <row r="451">
      <c r="B451" s="85"/>
      <c r="C451" s="85"/>
      <c r="E451" s="81" t="str">
        <f t="shared" si="1"/>
        <v/>
      </c>
      <c r="F451" s="84"/>
      <c r="G451" s="85"/>
      <c r="H451" s="85"/>
      <c r="L451" s="86"/>
      <c r="Q451" s="91"/>
    </row>
    <row r="452">
      <c r="B452" s="85"/>
      <c r="C452" s="85"/>
      <c r="E452" s="81" t="str">
        <f t="shared" si="1"/>
        <v/>
      </c>
      <c r="F452" s="84"/>
      <c r="G452" s="85"/>
      <c r="H452" s="85"/>
      <c r="L452" s="86"/>
      <c r="Q452" s="91"/>
    </row>
    <row r="453">
      <c r="B453" s="85"/>
      <c r="C453" s="85"/>
      <c r="E453" s="81" t="str">
        <f t="shared" si="1"/>
        <v/>
      </c>
      <c r="F453" s="84"/>
      <c r="G453" s="85"/>
      <c r="H453" s="85"/>
      <c r="L453" s="86"/>
      <c r="Q453" s="91"/>
    </row>
    <row r="454">
      <c r="B454" s="85"/>
      <c r="C454" s="85"/>
      <c r="E454" s="81" t="str">
        <f t="shared" si="1"/>
        <v/>
      </c>
      <c r="F454" s="84"/>
      <c r="G454" s="85"/>
      <c r="H454" s="85"/>
      <c r="L454" s="86"/>
      <c r="Q454" s="91"/>
    </row>
    <row r="455">
      <c r="B455" s="85"/>
      <c r="C455" s="85"/>
      <c r="E455" s="81" t="str">
        <f t="shared" si="1"/>
        <v/>
      </c>
      <c r="F455" s="84"/>
      <c r="G455" s="85"/>
      <c r="H455" s="85"/>
      <c r="L455" s="86"/>
      <c r="Q455" s="91"/>
    </row>
    <row r="456">
      <c r="B456" s="85"/>
      <c r="C456" s="85"/>
      <c r="E456" s="81" t="str">
        <f t="shared" si="1"/>
        <v/>
      </c>
      <c r="F456" s="84"/>
      <c r="G456" s="85"/>
      <c r="H456" s="85"/>
      <c r="L456" s="86"/>
      <c r="Q456" s="91"/>
    </row>
    <row r="457">
      <c r="B457" s="85"/>
      <c r="C457" s="85"/>
      <c r="E457" s="81" t="str">
        <f t="shared" si="1"/>
        <v/>
      </c>
      <c r="F457" s="84"/>
      <c r="G457" s="85"/>
      <c r="H457" s="85"/>
      <c r="L457" s="86"/>
      <c r="Q457" s="91"/>
    </row>
    <row r="458">
      <c r="B458" s="85"/>
      <c r="C458" s="85"/>
      <c r="E458" s="81" t="str">
        <f t="shared" si="1"/>
        <v/>
      </c>
      <c r="F458" s="84"/>
      <c r="G458" s="85"/>
      <c r="H458" s="85"/>
      <c r="L458" s="86"/>
      <c r="Q458" s="91"/>
    </row>
    <row r="459">
      <c r="B459" s="85"/>
      <c r="C459" s="85"/>
      <c r="E459" s="81" t="str">
        <f t="shared" si="1"/>
        <v/>
      </c>
      <c r="F459" s="84"/>
      <c r="G459" s="85"/>
      <c r="H459" s="85"/>
      <c r="L459" s="86"/>
      <c r="Q459" s="91"/>
    </row>
    <row r="460">
      <c r="B460" s="85"/>
      <c r="C460" s="85"/>
      <c r="E460" s="81" t="str">
        <f t="shared" si="1"/>
        <v/>
      </c>
      <c r="F460" s="84"/>
      <c r="G460" s="85"/>
      <c r="H460" s="85"/>
      <c r="L460" s="86"/>
      <c r="Q460" s="91"/>
    </row>
    <row r="461">
      <c r="B461" s="85"/>
      <c r="C461" s="85"/>
      <c r="E461" s="81" t="str">
        <f t="shared" si="1"/>
        <v/>
      </c>
      <c r="F461" s="84"/>
      <c r="G461" s="85"/>
      <c r="H461" s="85"/>
      <c r="L461" s="86"/>
      <c r="Q461" s="91"/>
    </row>
    <row r="462">
      <c r="B462" s="85"/>
      <c r="C462" s="85"/>
      <c r="E462" s="81" t="str">
        <f t="shared" si="1"/>
        <v/>
      </c>
      <c r="F462" s="84"/>
      <c r="G462" s="85"/>
      <c r="H462" s="85"/>
      <c r="L462" s="86"/>
      <c r="Q462" s="91"/>
    </row>
    <row r="463">
      <c r="B463" s="85"/>
      <c r="C463" s="85"/>
      <c r="E463" s="81" t="str">
        <f t="shared" si="1"/>
        <v/>
      </c>
      <c r="F463" s="84"/>
      <c r="G463" s="85"/>
      <c r="H463" s="85"/>
      <c r="L463" s="86"/>
      <c r="Q463" s="91"/>
    </row>
    <row r="464">
      <c r="B464" s="85"/>
      <c r="C464" s="85"/>
      <c r="E464" s="81" t="str">
        <f t="shared" si="1"/>
        <v/>
      </c>
      <c r="F464" s="84"/>
      <c r="G464" s="85"/>
      <c r="H464" s="85"/>
      <c r="L464" s="86"/>
      <c r="Q464" s="91"/>
    </row>
    <row r="465">
      <c r="B465" s="85"/>
      <c r="C465" s="85"/>
      <c r="E465" s="81" t="str">
        <f t="shared" si="1"/>
        <v/>
      </c>
      <c r="F465" s="84"/>
      <c r="G465" s="85"/>
      <c r="H465" s="85"/>
      <c r="L465" s="86"/>
      <c r="Q465" s="91"/>
    </row>
    <row r="466">
      <c r="B466" s="85"/>
      <c r="C466" s="85"/>
      <c r="E466" s="81" t="str">
        <f t="shared" si="1"/>
        <v/>
      </c>
      <c r="F466" s="84"/>
      <c r="G466" s="85"/>
      <c r="H466" s="85"/>
      <c r="L466" s="86"/>
      <c r="Q466" s="91"/>
    </row>
    <row r="467">
      <c r="B467" s="85"/>
      <c r="C467" s="85"/>
      <c r="E467" s="81" t="str">
        <f t="shared" si="1"/>
        <v/>
      </c>
      <c r="F467" s="84"/>
      <c r="G467" s="85"/>
      <c r="H467" s="85"/>
      <c r="L467" s="86"/>
      <c r="Q467" s="91"/>
    </row>
    <row r="468">
      <c r="B468" s="85"/>
      <c r="C468" s="85"/>
      <c r="E468" s="81" t="str">
        <f t="shared" si="1"/>
        <v/>
      </c>
      <c r="F468" s="84"/>
      <c r="G468" s="85"/>
      <c r="H468" s="85"/>
      <c r="L468" s="86"/>
      <c r="Q468" s="91"/>
    </row>
    <row r="469">
      <c r="B469" s="85"/>
      <c r="C469" s="85"/>
      <c r="E469" s="81" t="str">
        <f t="shared" si="1"/>
        <v/>
      </c>
      <c r="F469" s="84"/>
      <c r="G469" s="85"/>
      <c r="H469" s="85"/>
      <c r="L469" s="86"/>
      <c r="Q469" s="91"/>
    </row>
    <row r="470">
      <c r="B470" s="85"/>
      <c r="C470" s="85"/>
      <c r="E470" s="81" t="str">
        <f t="shared" si="1"/>
        <v/>
      </c>
      <c r="F470" s="84"/>
      <c r="G470" s="85"/>
      <c r="H470" s="85"/>
      <c r="L470" s="86"/>
      <c r="Q470" s="91"/>
    </row>
    <row r="471">
      <c r="B471" s="85"/>
      <c r="C471" s="85"/>
      <c r="E471" s="81" t="str">
        <f t="shared" si="1"/>
        <v/>
      </c>
      <c r="F471" s="84"/>
      <c r="G471" s="85"/>
      <c r="H471" s="85"/>
      <c r="L471" s="86"/>
      <c r="Q471" s="91"/>
    </row>
    <row r="472">
      <c r="B472" s="85"/>
      <c r="C472" s="85"/>
      <c r="E472" s="81" t="str">
        <f t="shared" si="1"/>
        <v/>
      </c>
      <c r="F472" s="84"/>
      <c r="G472" s="85"/>
      <c r="H472" s="85"/>
      <c r="L472" s="86"/>
      <c r="Q472" s="91"/>
    </row>
    <row r="473">
      <c r="B473" s="85"/>
      <c r="C473" s="85"/>
      <c r="E473" s="81" t="str">
        <f t="shared" si="1"/>
        <v/>
      </c>
      <c r="F473" s="84"/>
      <c r="G473" s="85"/>
      <c r="H473" s="85"/>
      <c r="L473" s="86"/>
      <c r="Q473" s="91"/>
    </row>
    <row r="474">
      <c r="B474" s="85"/>
      <c r="C474" s="85"/>
      <c r="E474" s="81" t="str">
        <f t="shared" si="1"/>
        <v/>
      </c>
      <c r="F474" s="84"/>
      <c r="G474" s="85"/>
      <c r="H474" s="85"/>
      <c r="L474" s="86"/>
      <c r="Q474" s="91"/>
    </row>
    <row r="475">
      <c r="B475" s="85"/>
      <c r="C475" s="85"/>
      <c r="E475" s="81" t="str">
        <f t="shared" si="1"/>
        <v/>
      </c>
      <c r="F475" s="84"/>
      <c r="G475" s="85"/>
      <c r="H475" s="85"/>
      <c r="L475" s="86"/>
      <c r="Q475" s="91"/>
    </row>
    <row r="476">
      <c r="B476" s="85"/>
      <c r="C476" s="85"/>
      <c r="E476" s="81" t="str">
        <f t="shared" si="1"/>
        <v/>
      </c>
      <c r="F476" s="84"/>
      <c r="G476" s="85"/>
      <c r="H476" s="85"/>
      <c r="L476" s="86"/>
      <c r="Q476" s="91"/>
    </row>
    <row r="477">
      <c r="B477" s="85"/>
      <c r="C477" s="85"/>
      <c r="E477" s="81" t="str">
        <f t="shared" si="1"/>
        <v/>
      </c>
      <c r="F477" s="84"/>
      <c r="G477" s="85"/>
      <c r="H477" s="85"/>
      <c r="L477" s="86"/>
      <c r="Q477" s="91"/>
    </row>
    <row r="478">
      <c r="B478" s="85"/>
      <c r="C478" s="85"/>
      <c r="E478" s="81" t="str">
        <f t="shared" si="1"/>
        <v/>
      </c>
      <c r="F478" s="84"/>
      <c r="G478" s="85"/>
      <c r="H478" s="85"/>
      <c r="L478" s="86"/>
      <c r="Q478" s="91"/>
    </row>
    <row r="479">
      <c r="B479" s="85"/>
      <c r="C479" s="85"/>
      <c r="E479" s="81" t="str">
        <f t="shared" si="1"/>
        <v/>
      </c>
      <c r="F479" s="84"/>
      <c r="G479" s="85"/>
      <c r="H479" s="85"/>
      <c r="L479" s="86"/>
      <c r="Q479" s="91"/>
    </row>
    <row r="480">
      <c r="B480" s="85"/>
      <c r="C480" s="85"/>
      <c r="E480" s="81" t="str">
        <f t="shared" si="1"/>
        <v/>
      </c>
      <c r="F480" s="84"/>
      <c r="G480" s="85"/>
      <c r="H480" s="85"/>
      <c r="L480" s="86"/>
      <c r="Q480" s="91"/>
    </row>
    <row r="481">
      <c r="B481" s="85"/>
      <c r="C481" s="85"/>
      <c r="E481" s="81" t="str">
        <f t="shared" si="1"/>
        <v/>
      </c>
      <c r="F481" s="84"/>
      <c r="G481" s="85"/>
      <c r="H481" s="85"/>
      <c r="L481" s="86"/>
      <c r="Q481" s="91"/>
    </row>
    <row r="482">
      <c r="B482" s="85"/>
      <c r="C482" s="85"/>
      <c r="E482" s="81" t="str">
        <f t="shared" si="1"/>
        <v/>
      </c>
      <c r="F482" s="84"/>
      <c r="G482" s="85"/>
      <c r="H482" s="85"/>
      <c r="L482" s="86"/>
      <c r="Q482" s="91"/>
    </row>
    <row r="483">
      <c r="B483" s="85"/>
      <c r="C483" s="85"/>
      <c r="E483" s="81" t="str">
        <f t="shared" si="1"/>
        <v/>
      </c>
      <c r="F483" s="84"/>
      <c r="G483" s="85"/>
      <c r="H483" s="85"/>
      <c r="L483" s="86"/>
      <c r="Q483" s="91"/>
    </row>
    <row r="484">
      <c r="B484" s="85"/>
      <c r="C484" s="85"/>
      <c r="E484" s="81" t="str">
        <f t="shared" si="1"/>
        <v/>
      </c>
      <c r="F484" s="84"/>
      <c r="G484" s="85"/>
      <c r="H484" s="85"/>
      <c r="L484" s="86"/>
      <c r="Q484" s="91"/>
    </row>
    <row r="485">
      <c r="B485" s="85"/>
      <c r="C485" s="85"/>
      <c r="E485" s="81" t="str">
        <f t="shared" si="1"/>
        <v/>
      </c>
      <c r="F485" s="84"/>
      <c r="G485" s="85"/>
      <c r="H485" s="85"/>
      <c r="L485" s="86"/>
      <c r="Q485" s="91"/>
    </row>
    <row r="486">
      <c r="B486" s="85"/>
      <c r="C486" s="85"/>
      <c r="E486" s="81" t="str">
        <f t="shared" si="1"/>
        <v/>
      </c>
      <c r="F486" s="84"/>
      <c r="G486" s="85"/>
      <c r="H486" s="85"/>
      <c r="L486" s="86"/>
      <c r="Q486" s="91"/>
    </row>
    <row r="487">
      <c r="B487" s="85"/>
      <c r="C487" s="85"/>
      <c r="E487" s="81" t="str">
        <f t="shared" si="1"/>
        <v/>
      </c>
      <c r="F487" s="84"/>
      <c r="G487" s="85"/>
      <c r="H487" s="85"/>
      <c r="L487" s="86"/>
      <c r="Q487" s="91"/>
    </row>
    <row r="488">
      <c r="B488" s="85"/>
      <c r="C488" s="85"/>
      <c r="E488" s="81" t="str">
        <f t="shared" si="1"/>
        <v/>
      </c>
      <c r="F488" s="84"/>
      <c r="G488" s="85"/>
      <c r="H488" s="85"/>
      <c r="L488" s="86"/>
      <c r="Q488" s="91"/>
    </row>
    <row r="489">
      <c r="B489" s="85"/>
      <c r="C489" s="85"/>
      <c r="E489" s="81" t="str">
        <f t="shared" si="1"/>
        <v/>
      </c>
      <c r="F489" s="84"/>
      <c r="G489" s="85"/>
      <c r="H489" s="85"/>
      <c r="L489" s="86"/>
      <c r="Q489" s="91"/>
    </row>
    <row r="490">
      <c r="B490" s="85"/>
      <c r="C490" s="85"/>
      <c r="E490" s="81" t="str">
        <f t="shared" si="1"/>
        <v/>
      </c>
      <c r="F490" s="84"/>
      <c r="G490" s="85"/>
      <c r="H490" s="85"/>
      <c r="L490" s="86"/>
      <c r="Q490" s="91"/>
    </row>
    <row r="491">
      <c r="B491" s="85"/>
      <c r="C491" s="85"/>
      <c r="E491" s="81" t="str">
        <f t="shared" si="1"/>
        <v/>
      </c>
      <c r="F491" s="84"/>
      <c r="G491" s="85"/>
      <c r="H491" s="85"/>
      <c r="L491" s="86"/>
      <c r="Q491" s="91"/>
    </row>
    <row r="492">
      <c r="B492" s="85"/>
      <c r="C492" s="85"/>
      <c r="E492" s="81" t="str">
        <f t="shared" si="1"/>
        <v/>
      </c>
      <c r="F492" s="84"/>
      <c r="G492" s="85"/>
      <c r="H492" s="85"/>
      <c r="L492" s="86"/>
      <c r="Q492" s="91"/>
    </row>
    <row r="493">
      <c r="B493" s="85"/>
      <c r="C493" s="85"/>
      <c r="E493" s="81" t="str">
        <f t="shared" si="1"/>
        <v/>
      </c>
      <c r="F493" s="84"/>
      <c r="G493" s="85"/>
      <c r="H493" s="85"/>
      <c r="L493" s="86"/>
      <c r="Q493" s="91"/>
    </row>
    <row r="494">
      <c r="B494" s="85"/>
      <c r="C494" s="85"/>
      <c r="E494" s="81" t="str">
        <f t="shared" si="1"/>
        <v/>
      </c>
      <c r="F494" s="84"/>
      <c r="G494" s="85"/>
      <c r="H494" s="85"/>
      <c r="L494" s="86"/>
      <c r="Q494" s="91"/>
    </row>
    <row r="495">
      <c r="B495" s="85"/>
      <c r="C495" s="85"/>
      <c r="E495" s="81" t="str">
        <f t="shared" si="1"/>
        <v/>
      </c>
      <c r="F495" s="84"/>
      <c r="G495" s="85"/>
      <c r="H495" s="85"/>
      <c r="L495" s="86"/>
      <c r="Q495" s="91"/>
    </row>
    <row r="496">
      <c r="B496" s="85"/>
      <c r="C496" s="85"/>
      <c r="E496" s="81" t="str">
        <f t="shared" si="1"/>
        <v/>
      </c>
      <c r="F496" s="84"/>
      <c r="G496" s="85"/>
      <c r="H496" s="85"/>
      <c r="L496" s="86"/>
      <c r="Q496" s="91"/>
    </row>
    <row r="497">
      <c r="B497" s="85"/>
      <c r="C497" s="85"/>
      <c r="E497" s="81" t="str">
        <f t="shared" si="1"/>
        <v/>
      </c>
      <c r="F497" s="84"/>
      <c r="G497" s="85"/>
      <c r="H497" s="85"/>
      <c r="L497" s="86"/>
      <c r="Q497" s="91"/>
    </row>
    <row r="498">
      <c r="B498" s="85"/>
      <c r="C498" s="85"/>
      <c r="E498" s="81" t="str">
        <f t="shared" si="1"/>
        <v/>
      </c>
      <c r="F498" s="84"/>
      <c r="G498" s="85"/>
      <c r="H498" s="85"/>
      <c r="L498" s="86"/>
      <c r="Q498" s="91"/>
    </row>
    <row r="499">
      <c r="B499" s="85"/>
      <c r="C499" s="85"/>
      <c r="E499" s="81" t="str">
        <f t="shared" si="1"/>
        <v/>
      </c>
      <c r="F499" s="84"/>
      <c r="G499" s="85"/>
      <c r="H499" s="85"/>
      <c r="L499" s="86"/>
      <c r="Q499" s="91"/>
    </row>
    <row r="500">
      <c r="B500" s="85"/>
      <c r="C500" s="85"/>
      <c r="E500" s="81" t="str">
        <f t="shared" si="1"/>
        <v/>
      </c>
      <c r="F500" s="84"/>
      <c r="G500" s="85"/>
      <c r="H500" s="85"/>
      <c r="L500" s="86"/>
      <c r="Q500" s="91"/>
    </row>
    <row r="501">
      <c r="B501" s="85"/>
      <c r="C501" s="85"/>
      <c r="E501" s="81" t="str">
        <f t="shared" si="1"/>
        <v/>
      </c>
      <c r="F501" s="84"/>
      <c r="G501" s="85"/>
      <c r="H501" s="85"/>
      <c r="L501" s="86"/>
      <c r="Q501" s="91"/>
    </row>
    <row r="502">
      <c r="B502" s="85"/>
      <c r="C502" s="85"/>
      <c r="E502" s="81" t="str">
        <f t="shared" si="1"/>
        <v/>
      </c>
      <c r="F502" s="84"/>
      <c r="G502" s="85"/>
      <c r="H502" s="85"/>
      <c r="L502" s="86"/>
      <c r="Q502" s="91"/>
    </row>
    <row r="503">
      <c r="B503" s="85"/>
      <c r="C503" s="85"/>
      <c r="E503" s="81" t="str">
        <f t="shared" si="1"/>
        <v/>
      </c>
      <c r="F503" s="84"/>
      <c r="G503" s="85"/>
      <c r="H503" s="85"/>
      <c r="L503" s="86"/>
      <c r="Q503" s="91"/>
    </row>
    <row r="504">
      <c r="B504" s="85"/>
      <c r="C504" s="85"/>
      <c r="E504" s="81" t="str">
        <f t="shared" si="1"/>
        <v/>
      </c>
      <c r="F504" s="84"/>
      <c r="G504" s="85"/>
      <c r="H504" s="85"/>
      <c r="L504" s="86"/>
      <c r="Q504" s="91"/>
    </row>
    <row r="505">
      <c r="B505" s="85"/>
      <c r="C505" s="85"/>
      <c r="E505" s="81" t="str">
        <f t="shared" si="1"/>
        <v/>
      </c>
      <c r="F505" s="84"/>
      <c r="G505" s="85"/>
      <c r="H505" s="85"/>
      <c r="L505" s="86"/>
      <c r="Q505" s="91"/>
    </row>
    <row r="506">
      <c r="B506" s="85"/>
      <c r="C506" s="85"/>
      <c r="E506" s="81" t="str">
        <f t="shared" si="1"/>
        <v/>
      </c>
      <c r="F506" s="84"/>
      <c r="G506" s="85"/>
      <c r="H506" s="85"/>
      <c r="L506" s="86"/>
      <c r="Q506" s="91"/>
    </row>
    <row r="507">
      <c r="B507" s="85"/>
      <c r="C507" s="85"/>
      <c r="E507" s="81" t="str">
        <f t="shared" si="1"/>
        <v/>
      </c>
      <c r="F507" s="84"/>
      <c r="G507" s="85"/>
      <c r="H507" s="85"/>
      <c r="L507" s="86"/>
      <c r="Q507" s="91"/>
    </row>
    <row r="508">
      <c r="B508" s="85"/>
      <c r="C508" s="85"/>
      <c r="E508" s="81" t="str">
        <f t="shared" si="1"/>
        <v/>
      </c>
      <c r="F508" s="84"/>
      <c r="G508" s="85"/>
      <c r="H508" s="85"/>
      <c r="L508" s="86"/>
      <c r="Q508" s="91"/>
    </row>
    <row r="509">
      <c r="B509" s="85"/>
      <c r="C509" s="85"/>
      <c r="E509" s="81" t="str">
        <f t="shared" si="1"/>
        <v/>
      </c>
      <c r="F509" s="84"/>
      <c r="G509" s="85"/>
      <c r="H509" s="85"/>
      <c r="L509" s="86"/>
      <c r="Q509" s="91"/>
    </row>
    <row r="510">
      <c r="B510" s="85"/>
      <c r="C510" s="85"/>
      <c r="E510" s="81" t="str">
        <f t="shared" si="1"/>
        <v/>
      </c>
      <c r="F510" s="84"/>
      <c r="G510" s="85"/>
      <c r="H510" s="85"/>
      <c r="L510" s="86"/>
      <c r="Q510" s="91"/>
    </row>
    <row r="511">
      <c r="B511" s="85"/>
      <c r="C511" s="85"/>
      <c r="E511" s="81" t="str">
        <f t="shared" si="1"/>
        <v/>
      </c>
      <c r="F511" s="84"/>
      <c r="G511" s="85"/>
      <c r="H511" s="85"/>
      <c r="L511" s="86"/>
      <c r="Q511" s="91"/>
    </row>
    <row r="512">
      <c r="B512" s="85"/>
      <c r="C512" s="85"/>
      <c r="E512" s="81" t="str">
        <f t="shared" si="1"/>
        <v/>
      </c>
      <c r="F512" s="84"/>
      <c r="G512" s="85"/>
      <c r="H512" s="85"/>
      <c r="L512" s="86"/>
      <c r="Q512" s="91"/>
    </row>
    <row r="513">
      <c r="B513" s="85"/>
      <c r="C513" s="85"/>
      <c r="E513" s="81" t="str">
        <f t="shared" si="1"/>
        <v/>
      </c>
      <c r="F513" s="84"/>
      <c r="G513" s="85"/>
      <c r="H513" s="85"/>
      <c r="L513" s="86"/>
      <c r="Q513" s="91"/>
    </row>
    <row r="514">
      <c r="B514" s="85"/>
      <c r="C514" s="85"/>
      <c r="E514" s="81" t="str">
        <f t="shared" si="1"/>
        <v/>
      </c>
      <c r="F514" s="84"/>
      <c r="G514" s="85"/>
      <c r="H514" s="85"/>
      <c r="L514" s="86"/>
      <c r="Q514" s="91"/>
    </row>
    <row r="515">
      <c r="B515" s="85"/>
      <c r="C515" s="85"/>
      <c r="E515" s="81" t="str">
        <f t="shared" si="1"/>
        <v/>
      </c>
      <c r="F515" s="84"/>
      <c r="G515" s="85"/>
      <c r="H515" s="85"/>
      <c r="L515" s="86"/>
      <c r="Q515" s="91"/>
    </row>
    <row r="516">
      <c r="B516" s="85"/>
      <c r="C516" s="85"/>
      <c r="E516" s="81" t="str">
        <f t="shared" si="1"/>
        <v/>
      </c>
      <c r="F516" s="84"/>
      <c r="G516" s="85"/>
      <c r="H516" s="85"/>
      <c r="L516" s="86"/>
      <c r="Q516" s="91"/>
    </row>
    <row r="517">
      <c r="B517" s="85"/>
      <c r="C517" s="85"/>
      <c r="E517" s="81" t="str">
        <f t="shared" si="1"/>
        <v/>
      </c>
      <c r="F517" s="84"/>
      <c r="G517" s="85"/>
      <c r="H517" s="85"/>
      <c r="L517" s="86"/>
      <c r="Q517" s="91"/>
    </row>
    <row r="518">
      <c r="B518" s="85"/>
      <c r="C518" s="85"/>
      <c r="E518" s="81" t="str">
        <f t="shared" si="1"/>
        <v/>
      </c>
      <c r="F518" s="84"/>
      <c r="G518" s="85"/>
      <c r="H518" s="85"/>
      <c r="L518" s="86"/>
      <c r="Q518" s="91"/>
    </row>
    <row r="519">
      <c r="B519" s="85"/>
      <c r="C519" s="85"/>
      <c r="E519" s="81" t="str">
        <f t="shared" si="1"/>
        <v/>
      </c>
      <c r="F519" s="84"/>
      <c r="G519" s="85"/>
      <c r="H519" s="85"/>
      <c r="L519" s="86"/>
      <c r="Q519" s="91"/>
    </row>
    <row r="520">
      <c r="B520" s="85"/>
      <c r="C520" s="85"/>
      <c r="E520" s="81" t="str">
        <f t="shared" si="1"/>
        <v/>
      </c>
      <c r="F520" s="84"/>
      <c r="G520" s="85"/>
      <c r="H520" s="85"/>
      <c r="L520" s="86"/>
      <c r="Q520" s="91"/>
    </row>
    <row r="521">
      <c r="B521" s="85"/>
      <c r="C521" s="85"/>
      <c r="E521" s="81" t="str">
        <f t="shared" si="1"/>
        <v/>
      </c>
      <c r="F521" s="84"/>
      <c r="G521" s="85"/>
      <c r="H521" s="85"/>
      <c r="L521" s="86"/>
      <c r="Q521" s="91"/>
    </row>
    <row r="522">
      <c r="B522" s="85"/>
      <c r="C522" s="85"/>
      <c r="E522" s="81" t="str">
        <f t="shared" si="1"/>
        <v/>
      </c>
      <c r="F522" s="84"/>
      <c r="G522" s="85"/>
      <c r="H522" s="85"/>
      <c r="L522" s="86"/>
      <c r="Q522" s="91"/>
    </row>
    <row r="523">
      <c r="B523" s="85"/>
      <c r="C523" s="85"/>
      <c r="E523" s="81" t="str">
        <f t="shared" si="1"/>
        <v/>
      </c>
      <c r="F523" s="84"/>
      <c r="G523" s="85"/>
      <c r="H523" s="85"/>
      <c r="L523" s="86"/>
      <c r="Q523" s="91"/>
    </row>
    <row r="524">
      <c r="B524" s="85"/>
      <c r="C524" s="85"/>
      <c r="E524" s="81" t="str">
        <f t="shared" si="1"/>
        <v/>
      </c>
      <c r="F524" s="84"/>
      <c r="G524" s="85"/>
      <c r="H524" s="85"/>
      <c r="L524" s="86"/>
      <c r="Q524" s="91"/>
    </row>
    <row r="525">
      <c r="B525" s="85"/>
      <c r="C525" s="85"/>
      <c r="E525" s="81" t="str">
        <f t="shared" si="1"/>
        <v/>
      </c>
      <c r="F525" s="84"/>
      <c r="G525" s="85"/>
      <c r="H525" s="85"/>
      <c r="L525" s="86"/>
      <c r="Q525" s="91"/>
    </row>
    <row r="526">
      <c r="B526" s="85"/>
      <c r="C526" s="85"/>
      <c r="E526" s="81" t="str">
        <f t="shared" si="1"/>
        <v/>
      </c>
      <c r="F526" s="84"/>
      <c r="G526" s="85"/>
      <c r="H526" s="85"/>
      <c r="L526" s="86"/>
      <c r="Q526" s="91"/>
    </row>
    <row r="527">
      <c r="B527" s="85"/>
      <c r="C527" s="85"/>
      <c r="E527" s="81" t="str">
        <f t="shared" si="1"/>
        <v/>
      </c>
      <c r="F527" s="84"/>
      <c r="G527" s="85"/>
      <c r="H527" s="85"/>
      <c r="L527" s="86"/>
      <c r="Q527" s="91"/>
    </row>
    <row r="528">
      <c r="B528" s="85"/>
      <c r="C528" s="85"/>
      <c r="E528" s="81" t="str">
        <f t="shared" ref="E528:E594" si="2">IF(A535&lt;&gt;"", TEXT(A535, "mmmm yyyy"), "")
</f>
        <v/>
      </c>
      <c r="F528" s="84"/>
      <c r="G528" s="85"/>
      <c r="H528" s="85"/>
      <c r="L528" s="86"/>
      <c r="Q528" s="91"/>
    </row>
    <row r="529">
      <c r="B529" s="85"/>
      <c r="C529" s="85"/>
      <c r="E529" s="81" t="str">
        <f t="shared" si="2"/>
        <v/>
      </c>
      <c r="F529" s="84"/>
      <c r="G529" s="85"/>
      <c r="H529" s="85"/>
      <c r="L529" s="86"/>
      <c r="Q529" s="91"/>
    </row>
    <row r="530">
      <c r="B530" s="85"/>
      <c r="C530" s="85"/>
      <c r="E530" s="81" t="str">
        <f t="shared" si="2"/>
        <v/>
      </c>
      <c r="F530" s="84"/>
      <c r="G530" s="85"/>
      <c r="H530" s="85"/>
      <c r="L530" s="86"/>
      <c r="Q530" s="91"/>
    </row>
    <row r="531">
      <c r="B531" s="85"/>
      <c r="C531" s="85"/>
      <c r="E531" s="81" t="str">
        <f t="shared" si="2"/>
        <v/>
      </c>
      <c r="F531" s="84"/>
      <c r="G531" s="85"/>
      <c r="H531" s="85"/>
      <c r="L531" s="86"/>
      <c r="Q531" s="91"/>
    </row>
    <row r="532">
      <c r="B532" s="85"/>
      <c r="C532" s="85"/>
      <c r="E532" s="81" t="str">
        <f t="shared" si="2"/>
        <v/>
      </c>
      <c r="F532" s="84"/>
      <c r="G532" s="85"/>
      <c r="H532" s="85"/>
      <c r="L532" s="86"/>
      <c r="Q532" s="91"/>
    </row>
    <row r="533">
      <c r="B533" s="85"/>
      <c r="C533" s="85"/>
      <c r="E533" s="81" t="str">
        <f t="shared" si="2"/>
        <v/>
      </c>
      <c r="F533" s="84"/>
      <c r="G533" s="85"/>
      <c r="H533" s="85"/>
      <c r="L533" s="86"/>
      <c r="Q533" s="91"/>
    </row>
    <row r="534">
      <c r="B534" s="85"/>
      <c r="C534" s="85"/>
      <c r="E534" s="81" t="str">
        <f t="shared" si="2"/>
        <v/>
      </c>
      <c r="F534" s="84"/>
      <c r="G534" s="85"/>
      <c r="H534" s="85"/>
      <c r="L534" s="86"/>
      <c r="Q534" s="91"/>
    </row>
    <row r="535">
      <c r="B535" s="85"/>
      <c r="C535" s="85"/>
      <c r="E535" s="81" t="str">
        <f t="shared" si="2"/>
        <v/>
      </c>
      <c r="F535" s="84"/>
      <c r="G535" s="85"/>
      <c r="H535" s="85"/>
      <c r="L535" s="86"/>
      <c r="Q535" s="91"/>
    </row>
    <row r="536">
      <c r="B536" s="85"/>
      <c r="C536" s="85"/>
      <c r="E536" s="81" t="str">
        <f t="shared" si="2"/>
        <v/>
      </c>
      <c r="F536" s="84"/>
      <c r="G536" s="85"/>
      <c r="H536" s="85"/>
      <c r="L536" s="86"/>
      <c r="Q536" s="91"/>
    </row>
    <row r="537">
      <c r="B537" s="85"/>
      <c r="C537" s="85"/>
      <c r="E537" s="81" t="str">
        <f t="shared" si="2"/>
        <v/>
      </c>
      <c r="F537" s="84"/>
      <c r="G537" s="85"/>
      <c r="H537" s="85"/>
      <c r="L537" s="86"/>
      <c r="Q537" s="91"/>
    </row>
    <row r="538">
      <c r="B538" s="85"/>
      <c r="C538" s="85"/>
      <c r="E538" s="81" t="str">
        <f t="shared" si="2"/>
        <v/>
      </c>
      <c r="F538" s="84"/>
      <c r="G538" s="85"/>
      <c r="H538" s="85"/>
      <c r="L538" s="86"/>
      <c r="Q538" s="91"/>
    </row>
    <row r="539">
      <c r="B539" s="85"/>
      <c r="C539" s="85"/>
      <c r="E539" s="81" t="str">
        <f t="shared" si="2"/>
        <v/>
      </c>
      <c r="F539" s="84"/>
      <c r="G539" s="85"/>
      <c r="H539" s="85"/>
      <c r="L539" s="86"/>
      <c r="Q539" s="91"/>
    </row>
    <row r="540">
      <c r="B540" s="85"/>
      <c r="C540" s="85"/>
      <c r="E540" s="81" t="str">
        <f t="shared" si="2"/>
        <v/>
      </c>
      <c r="F540" s="84"/>
      <c r="G540" s="85"/>
      <c r="H540" s="85"/>
      <c r="L540" s="86"/>
      <c r="Q540" s="91"/>
    </row>
    <row r="541">
      <c r="B541" s="85"/>
      <c r="C541" s="85"/>
      <c r="E541" s="81" t="str">
        <f t="shared" si="2"/>
        <v/>
      </c>
      <c r="F541" s="84"/>
      <c r="G541" s="85"/>
      <c r="H541" s="85"/>
      <c r="L541" s="86"/>
      <c r="Q541" s="91"/>
    </row>
    <row r="542">
      <c r="B542" s="85"/>
      <c r="C542" s="85"/>
      <c r="E542" s="81" t="str">
        <f t="shared" si="2"/>
        <v/>
      </c>
      <c r="F542" s="84"/>
      <c r="G542" s="85"/>
      <c r="H542" s="85"/>
      <c r="L542" s="86"/>
      <c r="Q542" s="91"/>
    </row>
    <row r="543">
      <c r="B543" s="85"/>
      <c r="C543" s="85"/>
      <c r="E543" s="81" t="str">
        <f t="shared" si="2"/>
        <v/>
      </c>
      <c r="F543" s="84"/>
      <c r="G543" s="85"/>
      <c r="H543" s="85"/>
      <c r="L543" s="86"/>
      <c r="Q543" s="91"/>
    </row>
    <row r="544">
      <c r="B544" s="85"/>
      <c r="C544" s="85"/>
      <c r="E544" s="81" t="str">
        <f t="shared" si="2"/>
        <v/>
      </c>
      <c r="F544" s="84"/>
      <c r="G544" s="85"/>
      <c r="H544" s="85"/>
      <c r="L544" s="86"/>
      <c r="Q544" s="91"/>
    </row>
    <row r="545">
      <c r="B545" s="85"/>
      <c r="C545" s="85"/>
      <c r="E545" s="81" t="str">
        <f t="shared" si="2"/>
        <v/>
      </c>
      <c r="F545" s="84"/>
      <c r="G545" s="85"/>
      <c r="H545" s="85"/>
      <c r="L545" s="86"/>
      <c r="Q545" s="91"/>
    </row>
    <row r="546">
      <c r="B546" s="85"/>
      <c r="C546" s="85"/>
      <c r="E546" s="81" t="str">
        <f t="shared" si="2"/>
        <v/>
      </c>
      <c r="F546" s="84"/>
      <c r="G546" s="85"/>
      <c r="H546" s="85"/>
      <c r="L546" s="86"/>
      <c r="Q546" s="91"/>
    </row>
    <row r="547">
      <c r="B547" s="85"/>
      <c r="C547" s="85"/>
      <c r="E547" s="81" t="str">
        <f t="shared" si="2"/>
        <v/>
      </c>
      <c r="F547" s="84"/>
      <c r="G547" s="85"/>
      <c r="H547" s="85"/>
      <c r="L547" s="86"/>
      <c r="Q547" s="91"/>
    </row>
    <row r="548">
      <c r="B548" s="85"/>
      <c r="C548" s="85"/>
      <c r="E548" s="81" t="str">
        <f t="shared" si="2"/>
        <v/>
      </c>
      <c r="F548" s="84"/>
      <c r="G548" s="85"/>
      <c r="H548" s="85"/>
      <c r="L548" s="86"/>
      <c r="Q548" s="91"/>
    </row>
    <row r="549">
      <c r="B549" s="85"/>
      <c r="C549" s="85"/>
      <c r="E549" s="81" t="str">
        <f t="shared" si="2"/>
        <v/>
      </c>
      <c r="F549" s="84"/>
      <c r="G549" s="85"/>
      <c r="H549" s="85"/>
      <c r="L549" s="86"/>
      <c r="Q549" s="91"/>
    </row>
    <row r="550">
      <c r="B550" s="85"/>
      <c r="C550" s="85"/>
      <c r="E550" s="81" t="str">
        <f t="shared" si="2"/>
        <v/>
      </c>
      <c r="F550" s="84"/>
      <c r="G550" s="85"/>
      <c r="H550" s="85"/>
      <c r="L550" s="86"/>
      <c r="Q550" s="91"/>
    </row>
    <row r="551">
      <c r="B551" s="85"/>
      <c r="C551" s="85"/>
      <c r="E551" s="81" t="str">
        <f t="shared" si="2"/>
        <v/>
      </c>
      <c r="F551" s="84"/>
      <c r="G551" s="85"/>
      <c r="H551" s="85"/>
      <c r="L551" s="86"/>
      <c r="Q551" s="91"/>
    </row>
    <row r="552">
      <c r="B552" s="85"/>
      <c r="C552" s="85"/>
      <c r="E552" s="81" t="str">
        <f t="shared" si="2"/>
        <v/>
      </c>
      <c r="F552" s="84"/>
      <c r="G552" s="85"/>
      <c r="H552" s="85"/>
      <c r="L552" s="86"/>
      <c r="Q552" s="91"/>
    </row>
    <row r="553">
      <c r="B553" s="85"/>
      <c r="C553" s="85"/>
      <c r="E553" s="81" t="str">
        <f t="shared" si="2"/>
        <v/>
      </c>
      <c r="F553" s="84"/>
      <c r="G553" s="85"/>
      <c r="H553" s="85"/>
      <c r="L553" s="86"/>
      <c r="Q553" s="91"/>
    </row>
    <row r="554">
      <c r="B554" s="85"/>
      <c r="C554" s="85"/>
      <c r="E554" s="81" t="str">
        <f t="shared" si="2"/>
        <v/>
      </c>
      <c r="F554" s="84"/>
      <c r="G554" s="85"/>
      <c r="H554" s="85"/>
      <c r="L554" s="86"/>
      <c r="Q554" s="91"/>
    </row>
    <row r="555">
      <c r="B555" s="85"/>
      <c r="C555" s="85"/>
      <c r="E555" s="81" t="str">
        <f t="shared" si="2"/>
        <v/>
      </c>
      <c r="F555" s="84"/>
      <c r="G555" s="85"/>
      <c r="H555" s="85"/>
      <c r="L555" s="86"/>
      <c r="Q555" s="91"/>
    </row>
    <row r="556">
      <c r="B556" s="85"/>
      <c r="C556" s="85"/>
      <c r="E556" s="81" t="str">
        <f t="shared" si="2"/>
        <v/>
      </c>
      <c r="F556" s="84"/>
      <c r="G556" s="85"/>
      <c r="H556" s="85"/>
      <c r="L556" s="86"/>
      <c r="Q556" s="91"/>
    </row>
    <row r="557">
      <c r="B557" s="85"/>
      <c r="C557" s="85"/>
      <c r="E557" s="81" t="str">
        <f t="shared" si="2"/>
        <v/>
      </c>
      <c r="F557" s="84"/>
      <c r="G557" s="85"/>
      <c r="H557" s="85"/>
      <c r="L557" s="86"/>
      <c r="Q557" s="91"/>
    </row>
    <row r="558">
      <c r="B558" s="85"/>
      <c r="C558" s="85"/>
      <c r="E558" s="81" t="str">
        <f t="shared" si="2"/>
        <v/>
      </c>
      <c r="F558" s="84"/>
      <c r="G558" s="85"/>
      <c r="H558" s="85"/>
      <c r="L558" s="86"/>
      <c r="Q558" s="91"/>
    </row>
    <row r="559">
      <c r="B559" s="85"/>
      <c r="C559" s="85"/>
      <c r="E559" s="81" t="str">
        <f t="shared" si="2"/>
        <v/>
      </c>
      <c r="F559" s="84"/>
      <c r="G559" s="85"/>
      <c r="H559" s="85"/>
      <c r="L559" s="86"/>
      <c r="Q559" s="91"/>
    </row>
    <row r="560">
      <c r="B560" s="85"/>
      <c r="C560" s="85"/>
      <c r="E560" s="81" t="str">
        <f t="shared" si="2"/>
        <v/>
      </c>
      <c r="F560" s="84"/>
      <c r="G560" s="85"/>
      <c r="H560" s="85"/>
      <c r="L560" s="86"/>
      <c r="Q560" s="91"/>
    </row>
    <row r="561">
      <c r="B561" s="85"/>
      <c r="C561" s="85"/>
      <c r="E561" s="81" t="str">
        <f t="shared" si="2"/>
        <v/>
      </c>
      <c r="F561" s="84"/>
      <c r="G561" s="85"/>
      <c r="H561" s="85"/>
      <c r="L561" s="86"/>
      <c r="Q561" s="91"/>
    </row>
    <row r="562">
      <c r="B562" s="85"/>
      <c r="C562" s="85"/>
      <c r="E562" s="81" t="str">
        <f t="shared" si="2"/>
        <v/>
      </c>
      <c r="F562" s="84"/>
      <c r="G562" s="85"/>
      <c r="H562" s="85"/>
      <c r="L562" s="86"/>
      <c r="Q562" s="91"/>
    </row>
    <row r="563">
      <c r="B563" s="85"/>
      <c r="C563" s="85"/>
      <c r="E563" s="81" t="str">
        <f t="shared" si="2"/>
        <v/>
      </c>
      <c r="F563" s="84"/>
      <c r="G563" s="85"/>
      <c r="H563" s="85"/>
      <c r="L563" s="86"/>
      <c r="Q563" s="91"/>
    </row>
    <row r="564">
      <c r="B564" s="85"/>
      <c r="C564" s="85"/>
      <c r="E564" s="81" t="str">
        <f t="shared" si="2"/>
        <v/>
      </c>
      <c r="F564" s="84"/>
      <c r="G564" s="85"/>
      <c r="H564" s="85"/>
      <c r="L564" s="86"/>
      <c r="Q564" s="91"/>
    </row>
    <row r="565">
      <c r="B565" s="85"/>
      <c r="C565" s="85"/>
      <c r="E565" s="81" t="str">
        <f t="shared" si="2"/>
        <v/>
      </c>
      <c r="F565" s="84"/>
      <c r="G565" s="85"/>
      <c r="H565" s="85"/>
      <c r="L565" s="86"/>
      <c r="Q565" s="91"/>
    </row>
    <row r="566">
      <c r="B566" s="85"/>
      <c r="C566" s="85"/>
      <c r="E566" s="81" t="str">
        <f t="shared" si="2"/>
        <v/>
      </c>
      <c r="F566" s="84"/>
      <c r="G566" s="85"/>
      <c r="H566" s="85"/>
      <c r="L566" s="86"/>
      <c r="Q566" s="91"/>
    </row>
    <row r="567">
      <c r="B567" s="85"/>
      <c r="C567" s="85"/>
      <c r="E567" s="81" t="str">
        <f t="shared" si="2"/>
        <v/>
      </c>
      <c r="F567" s="84"/>
      <c r="G567" s="85"/>
      <c r="H567" s="85"/>
      <c r="L567" s="86"/>
      <c r="Q567" s="91"/>
    </row>
    <row r="568">
      <c r="B568" s="85"/>
      <c r="C568" s="85"/>
      <c r="E568" s="81" t="str">
        <f t="shared" si="2"/>
        <v/>
      </c>
      <c r="F568" s="84"/>
      <c r="G568" s="85"/>
      <c r="H568" s="85"/>
      <c r="L568" s="86"/>
      <c r="Q568" s="91"/>
    </row>
    <row r="569">
      <c r="B569" s="85"/>
      <c r="C569" s="85"/>
      <c r="E569" s="81" t="str">
        <f t="shared" si="2"/>
        <v/>
      </c>
      <c r="F569" s="84"/>
      <c r="G569" s="85"/>
      <c r="H569" s="85"/>
      <c r="L569" s="86"/>
      <c r="Q569" s="91"/>
    </row>
    <row r="570">
      <c r="B570" s="85"/>
      <c r="C570" s="85"/>
      <c r="E570" s="81" t="str">
        <f t="shared" si="2"/>
        <v/>
      </c>
      <c r="F570" s="84"/>
      <c r="G570" s="85"/>
      <c r="H570" s="85"/>
      <c r="L570" s="86"/>
      <c r="Q570" s="91"/>
    </row>
    <row r="571">
      <c r="B571" s="85"/>
      <c r="C571" s="85"/>
      <c r="E571" s="81" t="str">
        <f t="shared" si="2"/>
        <v/>
      </c>
      <c r="F571" s="84"/>
      <c r="G571" s="85"/>
      <c r="H571" s="85"/>
      <c r="L571" s="86"/>
      <c r="Q571" s="91"/>
    </row>
    <row r="572">
      <c r="B572" s="85"/>
      <c r="C572" s="85"/>
      <c r="E572" s="81" t="str">
        <f t="shared" si="2"/>
        <v/>
      </c>
      <c r="F572" s="84"/>
      <c r="G572" s="85"/>
      <c r="H572" s="85"/>
      <c r="L572" s="86"/>
      <c r="Q572" s="91"/>
    </row>
    <row r="573">
      <c r="B573" s="85"/>
      <c r="C573" s="85"/>
      <c r="E573" s="81" t="str">
        <f t="shared" si="2"/>
        <v/>
      </c>
      <c r="F573" s="84"/>
      <c r="G573" s="85"/>
      <c r="H573" s="85"/>
      <c r="L573" s="86"/>
      <c r="Q573" s="91"/>
    </row>
    <row r="574">
      <c r="B574" s="85"/>
      <c r="C574" s="85"/>
      <c r="E574" s="81" t="str">
        <f t="shared" si="2"/>
        <v/>
      </c>
      <c r="F574" s="84"/>
      <c r="G574" s="85"/>
      <c r="H574" s="85"/>
      <c r="L574" s="86"/>
      <c r="Q574" s="91"/>
    </row>
    <row r="575">
      <c r="B575" s="85"/>
      <c r="C575" s="85"/>
      <c r="E575" s="81" t="str">
        <f t="shared" si="2"/>
        <v/>
      </c>
      <c r="F575" s="84"/>
      <c r="G575" s="85"/>
      <c r="H575" s="85"/>
      <c r="L575" s="86"/>
      <c r="Q575" s="91"/>
    </row>
    <row r="576">
      <c r="B576" s="85"/>
      <c r="C576" s="85"/>
      <c r="E576" s="81" t="str">
        <f t="shared" si="2"/>
        <v/>
      </c>
      <c r="F576" s="84"/>
      <c r="G576" s="85"/>
      <c r="H576" s="85"/>
      <c r="L576" s="86"/>
      <c r="Q576" s="91"/>
    </row>
    <row r="577">
      <c r="B577" s="85"/>
      <c r="C577" s="85"/>
      <c r="E577" s="81" t="str">
        <f t="shared" si="2"/>
        <v/>
      </c>
      <c r="F577" s="84"/>
      <c r="G577" s="85"/>
      <c r="H577" s="85"/>
      <c r="L577" s="86"/>
      <c r="Q577" s="91"/>
    </row>
    <row r="578">
      <c r="B578" s="85"/>
      <c r="C578" s="85"/>
      <c r="E578" s="81" t="str">
        <f t="shared" si="2"/>
        <v/>
      </c>
      <c r="F578" s="84"/>
      <c r="G578" s="85"/>
      <c r="H578" s="85"/>
      <c r="L578" s="86"/>
      <c r="Q578" s="91"/>
    </row>
    <row r="579">
      <c r="B579" s="85"/>
      <c r="C579" s="85"/>
      <c r="E579" s="81" t="str">
        <f t="shared" si="2"/>
        <v/>
      </c>
      <c r="F579" s="84"/>
      <c r="G579" s="85"/>
      <c r="H579" s="85"/>
      <c r="L579" s="86"/>
      <c r="Q579" s="91"/>
    </row>
    <row r="580">
      <c r="B580" s="85"/>
      <c r="C580" s="85"/>
      <c r="E580" s="81" t="str">
        <f t="shared" si="2"/>
        <v/>
      </c>
      <c r="F580" s="84"/>
      <c r="G580" s="85"/>
      <c r="H580" s="85"/>
      <c r="L580" s="86"/>
      <c r="Q580" s="91"/>
    </row>
    <row r="581">
      <c r="B581" s="85"/>
      <c r="C581" s="85"/>
      <c r="E581" s="81" t="str">
        <f t="shared" si="2"/>
        <v/>
      </c>
      <c r="F581" s="84"/>
      <c r="G581" s="85"/>
      <c r="H581" s="85"/>
      <c r="L581" s="86"/>
      <c r="Q581" s="91"/>
    </row>
    <row r="582">
      <c r="B582" s="85"/>
      <c r="C582" s="85"/>
      <c r="E582" s="81" t="str">
        <f t="shared" si="2"/>
        <v/>
      </c>
      <c r="F582" s="84"/>
      <c r="G582" s="85"/>
      <c r="H582" s="85"/>
      <c r="L582" s="86"/>
      <c r="Q582" s="91"/>
    </row>
    <row r="583">
      <c r="B583" s="85"/>
      <c r="C583" s="85"/>
      <c r="E583" s="81" t="str">
        <f t="shared" si="2"/>
        <v/>
      </c>
      <c r="F583" s="84"/>
      <c r="G583" s="85"/>
      <c r="H583" s="85"/>
      <c r="L583" s="86"/>
      <c r="Q583" s="91"/>
    </row>
    <row r="584">
      <c r="B584" s="85"/>
      <c r="C584" s="85"/>
      <c r="E584" s="81" t="str">
        <f t="shared" si="2"/>
        <v/>
      </c>
      <c r="F584" s="84"/>
      <c r="G584" s="85"/>
      <c r="H584" s="85"/>
      <c r="L584" s="86"/>
      <c r="Q584" s="91"/>
    </row>
    <row r="585">
      <c r="B585" s="85"/>
      <c r="C585" s="85"/>
      <c r="E585" s="81" t="str">
        <f t="shared" si="2"/>
        <v/>
      </c>
      <c r="F585" s="84"/>
      <c r="G585" s="85"/>
      <c r="H585" s="85"/>
      <c r="L585" s="86"/>
      <c r="Q585" s="91"/>
    </row>
    <row r="586">
      <c r="B586" s="85"/>
      <c r="C586" s="85"/>
      <c r="E586" s="81" t="str">
        <f t="shared" si="2"/>
        <v/>
      </c>
      <c r="F586" s="84"/>
      <c r="G586" s="85"/>
      <c r="H586" s="85"/>
      <c r="L586" s="86"/>
      <c r="Q586" s="91"/>
    </row>
    <row r="587">
      <c r="B587" s="85"/>
      <c r="C587" s="85"/>
      <c r="E587" s="81" t="str">
        <f t="shared" si="2"/>
        <v/>
      </c>
      <c r="F587" s="84"/>
      <c r="G587" s="85"/>
      <c r="H587" s="85"/>
      <c r="L587" s="86"/>
      <c r="Q587" s="91"/>
    </row>
    <row r="588">
      <c r="B588" s="85"/>
      <c r="C588" s="85"/>
      <c r="E588" s="81" t="str">
        <f t="shared" si="2"/>
        <v/>
      </c>
      <c r="F588" s="84"/>
      <c r="G588" s="85"/>
      <c r="H588" s="85"/>
      <c r="L588" s="86"/>
      <c r="Q588" s="91"/>
    </row>
    <row r="589">
      <c r="B589" s="85"/>
      <c r="C589" s="85"/>
      <c r="E589" s="81" t="str">
        <f t="shared" si="2"/>
        <v/>
      </c>
      <c r="F589" s="84"/>
      <c r="G589" s="85"/>
      <c r="H589" s="85"/>
      <c r="L589" s="86"/>
      <c r="Q589" s="91"/>
    </row>
    <row r="590">
      <c r="B590" s="85"/>
      <c r="C590" s="85"/>
      <c r="E590" s="81" t="str">
        <f t="shared" si="2"/>
        <v/>
      </c>
      <c r="F590" s="84"/>
      <c r="G590" s="85"/>
      <c r="H590" s="85"/>
      <c r="L590" s="86"/>
      <c r="Q590" s="91"/>
    </row>
    <row r="591">
      <c r="B591" s="85"/>
      <c r="C591" s="85"/>
      <c r="E591" s="81" t="str">
        <f t="shared" si="2"/>
        <v/>
      </c>
      <c r="F591" s="84"/>
      <c r="G591" s="85"/>
      <c r="H591" s="85"/>
      <c r="L591" s="86"/>
      <c r="Q591" s="91"/>
    </row>
    <row r="592">
      <c r="B592" s="85"/>
      <c r="C592" s="85"/>
      <c r="E592" s="81" t="str">
        <f t="shared" si="2"/>
        <v/>
      </c>
      <c r="F592" s="84"/>
      <c r="G592" s="85"/>
      <c r="H592" s="85"/>
      <c r="L592" s="86"/>
      <c r="Q592" s="91"/>
    </row>
    <row r="593">
      <c r="B593" s="85"/>
      <c r="C593" s="85"/>
      <c r="E593" s="81" t="str">
        <f t="shared" si="2"/>
        <v/>
      </c>
      <c r="F593" s="84"/>
      <c r="G593" s="85"/>
      <c r="H593" s="85"/>
      <c r="L593" s="86"/>
      <c r="Q593" s="91"/>
    </row>
    <row r="594">
      <c r="B594" s="85"/>
      <c r="C594" s="85"/>
      <c r="E594" s="81" t="str">
        <f t="shared" si="2"/>
        <v/>
      </c>
      <c r="F594" s="84"/>
      <c r="G594" s="85"/>
      <c r="H594" s="85"/>
      <c r="L594" s="86"/>
      <c r="Q594" s="91"/>
    </row>
    <row r="595">
      <c r="B595" s="85"/>
      <c r="C595" s="85"/>
      <c r="F595" s="84"/>
      <c r="G595" s="85"/>
      <c r="H595" s="85"/>
      <c r="L595" s="86"/>
      <c r="Q595" s="91"/>
    </row>
    <row r="596">
      <c r="B596" s="85"/>
      <c r="C596" s="85"/>
      <c r="F596" s="84"/>
      <c r="G596" s="85"/>
      <c r="H596" s="85"/>
      <c r="L596" s="86"/>
      <c r="Q596" s="91"/>
    </row>
    <row r="597">
      <c r="B597" s="85"/>
      <c r="C597" s="85"/>
      <c r="F597" s="84"/>
      <c r="G597" s="85"/>
      <c r="H597" s="85"/>
      <c r="L597" s="86"/>
      <c r="Q597" s="91"/>
    </row>
    <row r="598">
      <c r="B598" s="85"/>
      <c r="C598" s="85"/>
      <c r="F598" s="84"/>
      <c r="G598" s="85"/>
      <c r="H598" s="85"/>
      <c r="L598" s="86"/>
      <c r="Q598" s="91"/>
    </row>
    <row r="599">
      <c r="B599" s="85"/>
      <c r="C599" s="85"/>
      <c r="F599" s="84"/>
      <c r="G599" s="85"/>
      <c r="H599" s="85"/>
      <c r="L599" s="86"/>
      <c r="Q599" s="91"/>
    </row>
    <row r="600">
      <c r="B600" s="85"/>
      <c r="C600" s="85"/>
      <c r="F600" s="84"/>
      <c r="G600" s="85"/>
      <c r="H600" s="85"/>
      <c r="L600" s="86"/>
      <c r="Q600" s="91"/>
    </row>
    <row r="601">
      <c r="B601" s="85"/>
      <c r="C601" s="85"/>
      <c r="F601" s="84"/>
      <c r="G601" s="85"/>
      <c r="H601" s="85"/>
      <c r="L601" s="86"/>
      <c r="Q601" s="91"/>
    </row>
    <row r="602">
      <c r="B602" s="85"/>
      <c r="C602" s="85"/>
      <c r="F602" s="84"/>
      <c r="G602" s="85"/>
      <c r="H602" s="85"/>
      <c r="L602" s="86"/>
      <c r="Q602" s="91"/>
    </row>
    <row r="603">
      <c r="B603" s="85"/>
      <c r="C603" s="85"/>
      <c r="F603" s="84"/>
      <c r="G603" s="85"/>
      <c r="H603" s="85"/>
      <c r="L603" s="86"/>
      <c r="Q603" s="91"/>
    </row>
    <row r="604">
      <c r="B604" s="85"/>
      <c r="C604" s="85"/>
      <c r="F604" s="84"/>
      <c r="G604" s="85"/>
      <c r="H604" s="85"/>
      <c r="L604" s="86"/>
      <c r="Q604" s="91"/>
    </row>
    <row r="605">
      <c r="B605" s="85"/>
      <c r="C605" s="85"/>
      <c r="F605" s="84"/>
      <c r="G605" s="85"/>
      <c r="H605" s="85"/>
      <c r="L605" s="86"/>
      <c r="Q605" s="91"/>
    </row>
    <row r="606">
      <c r="B606" s="85"/>
      <c r="C606" s="85"/>
      <c r="F606" s="84"/>
      <c r="G606" s="85"/>
      <c r="H606" s="85"/>
      <c r="L606" s="86"/>
      <c r="Q606" s="91"/>
    </row>
    <row r="607">
      <c r="B607" s="85"/>
      <c r="C607" s="85"/>
      <c r="F607" s="84"/>
      <c r="G607" s="85"/>
      <c r="H607" s="85"/>
      <c r="L607" s="86"/>
      <c r="Q607" s="91"/>
    </row>
    <row r="608">
      <c r="B608" s="85"/>
      <c r="C608" s="85"/>
      <c r="F608" s="84"/>
      <c r="G608" s="85"/>
      <c r="H608" s="85"/>
      <c r="L608" s="86"/>
      <c r="Q608" s="91"/>
    </row>
    <row r="609">
      <c r="B609" s="85"/>
      <c r="C609" s="85"/>
      <c r="F609" s="84"/>
      <c r="G609" s="85"/>
      <c r="H609" s="85"/>
      <c r="L609" s="86"/>
      <c r="Q609" s="91"/>
    </row>
    <row r="610">
      <c r="B610" s="85"/>
      <c r="C610" s="85"/>
      <c r="F610" s="84"/>
      <c r="G610" s="85"/>
      <c r="H610" s="85"/>
      <c r="L610" s="86"/>
      <c r="Q610" s="91"/>
    </row>
    <row r="611">
      <c r="B611" s="85"/>
      <c r="C611" s="85"/>
      <c r="F611" s="84"/>
      <c r="G611" s="85"/>
      <c r="H611" s="85"/>
      <c r="L611" s="86"/>
      <c r="Q611" s="91"/>
    </row>
    <row r="612">
      <c r="B612" s="85"/>
      <c r="C612" s="85"/>
      <c r="F612" s="84"/>
      <c r="G612" s="85"/>
      <c r="H612" s="85"/>
      <c r="L612" s="86"/>
      <c r="Q612" s="91"/>
    </row>
    <row r="613">
      <c r="B613" s="85"/>
      <c r="C613" s="85"/>
      <c r="F613" s="84"/>
      <c r="G613" s="85"/>
      <c r="H613" s="85"/>
      <c r="L613" s="86"/>
      <c r="Q613" s="91"/>
    </row>
    <row r="614">
      <c r="B614" s="85"/>
      <c r="C614" s="85"/>
      <c r="F614" s="84"/>
      <c r="G614" s="85"/>
      <c r="H614" s="85"/>
      <c r="L614" s="86"/>
      <c r="Q614" s="91"/>
    </row>
    <row r="615">
      <c r="B615" s="85"/>
      <c r="C615" s="85"/>
      <c r="F615" s="84"/>
      <c r="G615" s="85"/>
      <c r="H615" s="85"/>
      <c r="L615" s="86"/>
      <c r="Q615" s="91"/>
    </row>
    <row r="616">
      <c r="B616" s="85"/>
      <c r="C616" s="85"/>
      <c r="F616" s="84"/>
      <c r="G616" s="85"/>
      <c r="H616" s="85"/>
      <c r="L616" s="86"/>
      <c r="Q616" s="91"/>
    </row>
    <row r="617">
      <c r="B617" s="85"/>
      <c r="C617" s="85"/>
      <c r="F617" s="84"/>
      <c r="G617" s="85"/>
      <c r="H617" s="85"/>
      <c r="L617" s="86"/>
      <c r="Q617" s="91"/>
    </row>
    <row r="618">
      <c r="B618" s="85"/>
      <c r="C618" s="85"/>
      <c r="F618" s="84"/>
      <c r="G618" s="85"/>
      <c r="H618" s="85"/>
      <c r="L618" s="86"/>
      <c r="Q618" s="91"/>
    </row>
    <row r="619">
      <c r="B619" s="85"/>
      <c r="C619" s="85"/>
      <c r="F619" s="84"/>
      <c r="G619" s="85"/>
      <c r="H619" s="85"/>
      <c r="L619" s="86"/>
      <c r="Q619" s="91"/>
    </row>
    <row r="620">
      <c r="B620" s="85"/>
      <c r="C620" s="85"/>
      <c r="F620" s="84"/>
      <c r="G620" s="85"/>
      <c r="H620" s="85"/>
      <c r="L620" s="86"/>
      <c r="Q620" s="91"/>
    </row>
    <row r="621">
      <c r="B621" s="85"/>
      <c r="C621" s="85"/>
      <c r="F621" s="84"/>
      <c r="G621" s="85"/>
      <c r="H621" s="85"/>
      <c r="L621" s="86"/>
      <c r="Q621" s="91"/>
    </row>
    <row r="622">
      <c r="B622" s="85"/>
      <c r="C622" s="85"/>
      <c r="F622" s="84"/>
      <c r="G622" s="85"/>
      <c r="H622" s="85"/>
      <c r="L622" s="86"/>
      <c r="Q622" s="91"/>
    </row>
    <row r="623">
      <c r="B623" s="85"/>
      <c r="C623" s="85"/>
      <c r="F623" s="84"/>
      <c r="G623" s="85"/>
      <c r="H623" s="85"/>
      <c r="L623" s="86"/>
      <c r="Q623" s="91"/>
    </row>
    <row r="624">
      <c r="B624" s="85"/>
      <c r="C624" s="85"/>
      <c r="F624" s="84"/>
      <c r="G624" s="85"/>
      <c r="H624" s="85"/>
      <c r="L624" s="86"/>
      <c r="Q624" s="91"/>
    </row>
    <row r="625">
      <c r="B625" s="85"/>
      <c r="C625" s="85"/>
      <c r="F625" s="84"/>
      <c r="G625" s="85"/>
      <c r="H625" s="85"/>
      <c r="L625" s="86"/>
      <c r="Q625" s="91"/>
    </row>
    <row r="626">
      <c r="B626" s="85"/>
      <c r="C626" s="85"/>
      <c r="F626" s="84"/>
      <c r="G626" s="85"/>
      <c r="H626" s="85"/>
      <c r="L626" s="86"/>
      <c r="Q626" s="91"/>
    </row>
    <row r="627">
      <c r="B627" s="85"/>
      <c r="C627" s="85"/>
      <c r="F627" s="84"/>
      <c r="G627" s="85"/>
      <c r="H627" s="85"/>
      <c r="L627" s="86"/>
      <c r="Q627" s="91"/>
    </row>
    <row r="628">
      <c r="B628" s="85"/>
      <c r="C628" s="85"/>
      <c r="F628" s="84"/>
      <c r="G628" s="85"/>
      <c r="H628" s="85"/>
      <c r="L628" s="86"/>
      <c r="Q628" s="91"/>
    </row>
    <row r="629">
      <c r="B629" s="85"/>
      <c r="C629" s="85"/>
      <c r="F629" s="84"/>
      <c r="G629" s="85"/>
      <c r="H629" s="85"/>
      <c r="L629" s="86"/>
      <c r="Q629" s="91"/>
    </row>
    <row r="630">
      <c r="B630" s="85"/>
      <c r="C630" s="85"/>
      <c r="F630" s="84"/>
      <c r="G630" s="85"/>
      <c r="H630" s="85"/>
      <c r="L630" s="86"/>
      <c r="Q630" s="91"/>
    </row>
    <row r="631">
      <c r="B631" s="85"/>
      <c r="C631" s="85"/>
      <c r="F631" s="84"/>
      <c r="G631" s="85"/>
      <c r="H631" s="85"/>
      <c r="L631" s="86"/>
      <c r="Q631" s="91"/>
    </row>
    <row r="632">
      <c r="B632" s="85"/>
      <c r="C632" s="85"/>
      <c r="F632" s="84"/>
      <c r="G632" s="85"/>
      <c r="H632" s="85"/>
      <c r="L632" s="86"/>
      <c r="Q632" s="91"/>
    </row>
    <row r="633">
      <c r="B633" s="85"/>
      <c r="C633" s="85"/>
      <c r="F633" s="84"/>
      <c r="G633" s="85"/>
      <c r="H633" s="85"/>
      <c r="L633" s="86"/>
      <c r="Q633" s="91"/>
    </row>
    <row r="634">
      <c r="B634" s="85"/>
      <c r="C634" s="85"/>
      <c r="F634" s="84"/>
      <c r="G634" s="85"/>
      <c r="H634" s="85"/>
      <c r="L634" s="86"/>
      <c r="Q634" s="91"/>
    </row>
    <row r="635">
      <c r="B635" s="85"/>
      <c r="C635" s="85"/>
      <c r="F635" s="84"/>
      <c r="G635" s="85"/>
      <c r="H635" s="85"/>
      <c r="L635" s="86"/>
      <c r="Q635" s="91"/>
    </row>
    <row r="636">
      <c r="B636" s="85"/>
      <c r="C636" s="85"/>
      <c r="F636" s="84"/>
      <c r="G636" s="85"/>
      <c r="H636" s="85"/>
      <c r="L636" s="86"/>
      <c r="Q636" s="91"/>
    </row>
    <row r="637">
      <c r="B637" s="85"/>
      <c r="C637" s="85"/>
      <c r="F637" s="84"/>
      <c r="G637" s="85"/>
      <c r="H637" s="85"/>
      <c r="L637" s="86"/>
      <c r="Q637" s="91"/>
    </row>
    <row r="638">
      <c r="B638" s="85"/>
      <c r="C638" s="85"/>
      <c r="F638" s="84"/>
      <c r="G638" s="85"/>
      <c r="H638" s="85"/>
      <c r="L638" s="86"/>
      <c r="Q638" s="91"/>
    </row>
    <row r="639">
      <c r="B639" s="85"/>
      <c r="C639" s="85"/>
      <c r="F639" s="84"/>
      <c r="G639" s="85"/>
      <c r="H639" s="85"/>
      <c r="L639" s="86"/>
      <c r="Q639" s="91"/>
    </row>
    <row r="640">
      <c r="B640" s="85"/>
      <c r="C640" s="85"/>
      <c r="F640" s="84"/>
      <c r="G640" s="85"/>
      <c r="H640" s="85"/>
      <c r="L640" s="86"/>
      <c r="Q640" s="91"/>
    </row>
    <row r="641">
      <c r="B641" s="85"/>
      <c r="C641" s="85"/>
      <c r="F641" s="84"/>
      <c r="G641" s="85"/>
      <c r="H641" s="85"/>
      <c r="L641" s="86"/>
      <c r="Q641" s="91"/>
    </row>
    <row r="642">
      <c r="B642" s="85"/>
      <c r="C642" s="85"/>
      <c r="F642" s="84"/>
      <c r="G642" s="85"/>
      <c r="H642" s="85"/>
      <c r="L642" s="86"/>
      <c r="Q642" s="91"/>
    </row>
    <row r="643">
      <c r="B643" s="85"/>
      <c r="C643" s="85"/>
      <c r="F643" s="84"/>
      <c r="G643" s="85"/>
      <c r="H643" s="85"/>
      <c r="L643" s="86"/>
      <c r="Q643" s="91"/>
    </row>
    <row r="644">
      <c r="B644" s="85"/>
      <c r="C644" s="85"/>
      <c r="F644" s="84"/>
      <c r="G644" s="85"/>
      <c r="H644" s="85"/>
      <c r="L644" s="86"/>
      <c r="Q644" s="91"/>
    </row>
    <row r="645">
      <c r="B645" s="85"/>
      <c r="C645" s="85"/>
      <c r="F645" s="84"/>
      <c r="G645" s="85"/>
      <c r="H645" s="85"/>
      <c r="L645" s="86"/>
      <c r="Q645" s="91"/>
    </row>
    <row r="646">
      <c r="B646" s="85"/>
      <c r="C646" s="85"/>
      <c r="F646" s="84"/>
      <c r="G646" s="85"/>
      <c r="H646" s="85"/>
      <c r="L646" s="86"/>
      <c r="Q646" s="91"/>
    </row>
    <row r="647">
      <c r="B647" s="85"/>
      <c r="C647" s="85"/>
      <c r="F647" s="84"/>
      <c r="G647" s="85"/>
      <c r="H647" s="85"/>
      <c r="L647" s="86"/>
      <c r="Q647" s="91"/>
    </row>
    <row r="648">
      <c r="B648" s="85"/>
      <c r="C648" s="85"/>
      <c r="F648" s="84"/>
      <c r="G648" s="85"/>
      <c r="H648" s="85"/>
      <c r="L648" s="86"/>
      <c r="Q648" s="91"/>
    </row>
    <row r="649">
      <c r="B649" s="85"/>
      <c r="C649" s="85"/>
      <c r="F649" s="84"/>
      <c r="G649" s="85"/>
      <c r="H649" s="85"/>
      <c r="L649" s="86"/>
      <c r="Q649" s="91"/>
    </row>
    <row r="650">
      <c r="B650" s="85"/>
      <c r="C650" s="85"/>
      <c r="F650" s="84"/>
      <c r="G650" s="85"/>
      <c r="H650" s="85"/>
      <c r="L650" s="86"/>
      <c r="Q650" s="91"/>
    </row>
    <row r="651">
      <c r="B651" s="85"/>
      <c r="C651" s="85"/>
      <c r="F651" s="84"/>
      <c r="G651" s="85"/>
      <c r="H651" s="85"/>
      <c r="L651" s="86"/>
      <c r="Q651" s="91"/>
    </row>
    <row r="652">
      <c r="B652" s="85"/>
      <c r="C652" s="85"/>
      <c r="F652" s="84"/>
      <c r="G652" s="85"/>
      <c r="H652" s="85"/>
      <c r="L652" s="86"/>
      <c r="Q652" s="91"/>
    </row>
    <row r="653">
      <c r="B653" s="85"/>
      <c r="C653" s="85"/>
      <c r="F653" s="84"/>
      <c r="G653" s="85"/>
      <c r="H653" s="85"/>
      <c r="L653" s="86"/>
      <c r="Q653" s="91"/>
    </row>
    <row r="654">
      <c r="B654" s="85"/>
      <c r="C654" s="85"/>
      <c r="F654" s="84"/>
      <c r="G654" s="85"/>
      <c r="H654" s="85"/>
      <c r="L654" s="86"/>
      <c r="Q654" s="91"/>
    </row>
    <row r="655">
      <c r="B655" s="85"/>
      <c r="C655" s="85"/>
      <c r="F655" s="84"/>
      <c r="G655" s="85"/>
      <c r="H655" s="85"/>
      <c r="L655" s="86"/>
      <c r="Q655" s="91"/>
    </row>
    <row r="656">
      <c r="B656" s="85"/>
      <c r="C656" s="85"/>
      <c r="F656" s="84"/>
      <c r="G656" s="85"/>
      <c r="H656" s="85"/>
      <c r="L656" s="86"/>
      <c r="Q656" s="91"/>
    </row>
    <row r="657">
      <c r="B657" s="85"/>
      <c r="C657" s="85"/>
      <c r="F657" s="84"/>
      <c r="G657" s="85"/>
      <c r="H657" s="85"/>
      <c r="L657" s="86"/>
      <c r="Q657" s="91"/>
    </row>
    <row r="658">
      <c r="B658" s="85"/>
      <c r="C658" s="85"/>
      <c r="F658" s="84"/>
      <c r="G658" s="85"/>
      <c r="H658" s="85"/>
      <c r="L658" s="86"/>
      <c r="Q658" s="91"/>
    </row>
    <row r="659">
      <c r="B659" s="85"/>
      <c r="C659" s="85"/>
      <c r="F659" s="84"/>
      <c r="G659" s="85"/>
      <c r="H659" s="85"/>
      <c r="L659" s="86"/>
      <c r="Q659" s="91"/>
    </row>
    <row r="660">
      <c r="B660" s="85"/>
      <c r="C660" s="85"/>
      <c r="F660" s="84"/>
      <c r="G660" s="85"/>
      <c r="H660" s="85"/>
      <c r="L660" s="86"/>
      <c r="Q660" s="91"/>
    </row>
    <row r="661">
      <c r="B661" s="85"/>
      <c r="C661" s="85"/>
      <c r="F661" s="84"/>
      <c r="G661" s="85"/>
      <c r="H661" s="85"/>
      <c r="L661" s="86"/>
      <c r="Q661" s="91"/>
    </row>
    <row r="662">
      <c r="B662" s="85"/>
      <c r="C662" s="85"/>
      <c r="F662" s="84"/>
      <c r="G662" s="85"/>
      <c r="H662" s="85"/>
      <c r="L662" s="86"/>
      <c r="Q662" s="91"/>
    </row>
    <row r="663">
      <c r="B663" s="85"/>
      <c r="C663" s="85"/>
      <c r="F663" s="84"/>
      <c r="G663" s="85"/>
      <c r="H663" s="85"/>
      <c r="L663" s="86"/>
      <c r="Q663" s="91"/>
    </row>
    <row r="664">
      <c r="B664" s="85"/>
      <c r="C664" s="85"/>
      <c r="F664" s="84"/>
      <c r="G664" s="85"/>
      <c r="H664" s="85"/>
      <c r="L664" s="86"/>
      <c r="Q664" s="91"/>
    </row>
    <row r="665">
      <c r="B665" s="85"/>
      <c r="C665" s="85"/>
      <c r="F665" s="84"/>
      <c r="G665" s="85"/>
      <c r="H665" s="85"/>
      <c r="L665" s="86"/>
      <c r="Q665" s="91"/>
    </row>
    <row r="666">
      <c r="B666" s="85"/>
      <c r="C666" s="85"/>
      <c r="F666" s="84"/>
      <c r="G666" s="85"/>
      <c r="H666" s="85"/>
      <c r="L666" s="86"/>
      <c r="Q666" s="91"/>
    </row>
    <row r="667">
      <c r="B667" s="85"/>
      <c r="C667" s="85"/>
      <c r="F667" s="84"/>
      <c r="G667" s="85"/>
      <c r="H667" s="85"/>
      <c r="L667" s="86"/>
      <c r="Q667" s="91"/>
    </row>
    <row r="668">
      <c r="B668" s="85"/>
      <c r="C668" s="85"/>
      <c r="F668" s="84"/>
      <c r="G668" s="85"/>
      <c r="H668" s="85"/>
      <c r="L668" s="86"/>
      <c r="Q668" s="91"/>
    </row>
    <row r="669">
      <c r="B669" s="85"/>
      <c r="C669" s="85"/>
      <c r="F669" s="84"/>
      <c r="G669" s="85"/>
      <c r="H669" s="85"/>
      <c r="L669" s="86"/>
      <c r="Q669" s="91"/>
    </row>
    <row r="670">
      <c r="B670" s="85"/>
      <c r="C670" s="85"/>
      <c r="F670" s="84"/>
      <c r="G670" s="85"/>
      <c r="H670" s="85"/>
      <c r="L670" s="86"/>
      <c r="Q670" s="91"/>
    </row>
    <row r="671">
      <c r="B671" s="85"/>
      <c r="C671" s="85"/>
      <c r="F671" s="84"/>
      <c r="G671" s="85"/>
      <c r="H671" s="85"/>
      <c r="L671" s="86"/>
      <c r="Q671" s="91"/>
    </row>
    <row r="672">
      <c r="B672" s="85"/>
      <c r="C672" s="85"/>
      <c r="F672" s="84"/>
      <c r="G672" s="85"/>
      <c r="H672" s="85"/>
      <c r="L672" s="86"/>
      <c r="Q672" s="91"/>
    </row>
    <row r="673">
      <c r="B673" s="85"/>
      <c r="C673" s="85"/>
      <c r="F673" s="84"/>
      <c r="G673" s="85"/>
      <c r="H673" s="85"/>
      <c r="L673" s="86"/>
      <c r="Q673" s="91"/>
    </row>
    <row r="674">
      <c r="B674" s="85"/>
      <c r="C674" s="85"/>
      <c r="F674" s="84"/>
      <c r="G674" s="85"/>
      <c r="H674" s="85"/>
      <c r="L674" s="86"/>
      <c r="Q674" s="91"/>
    </row>
    <row r="675">
      <c r="B675" s="85"/>
      <c r="C675" s="85"/>
      <c r="F675" s="84"/>
      <c r="G675" s="85"/>
      <c r="H675" s="85"/>
      <c r="L675" s="86"/>
      <c r="Q675" s="91"/>
    </row>
    <row r="676">
      <c r="B676" s="85"/>
      <c r="C676" s="85"/>
      <c r="F676" s="84"/>
      <c r="G676" s="85"/>
      <c r="H676" s="85"/>
      <c r="L676" s="86"/>
      <c r="Q676" s="91"/>
    </row>
    <row r="677">
      <c r="B677" s="85"/>
      <c r="C677" s="85"/>
      <c r="F677" s="84"/>
      <c r="G677" s="85"/>
      <c r="H677" s="85"/>
      <c r="L677" s="86"/>
      <c r="Q677" s="91"/>
    </row>
    <row r="678">
      <c r="B678" s="85"/>
      <c r="C678" s="85"/>
      <c r="F678" s="84"/>
      <c r="G678" s="85"/>
      <c r="H678" s="85"/>
      <c r="L678" s="86"/>
      <c r="Q678" s="91"/>
    </row>
    <row r="679">
      <c r="B679" s="85"/>
      <c r="C679" s="85"/>
      <c r="F679" s="84"/>
      <c r="G679" s="85"/>
      <c r="H679" s="85"/>
      <c r="L679" s="86"/>
      <c r="Q679" s="91"/>
    </row>
    <row r="680">
      <c r="B680" s="85"/>
      <c r="C680" s="85"/>
      <c r="F680" s="84"/>
      <c r="G680" s="85"/>
      <c r="H680" s="85"/>
      <c r="L680" s="86"/>
      <c r="Q680" s="91"/>
    </row>
    <row r="681">
      <c r="B681" s="85"/>
      <c r="C681" s="85"/>
      <c r="F681" s="84"/>
      <c r="G681" s="85"/>
      <c r="H681" s="85"/>
      <c r="L681" s="86"/>
      <c r="Q681" s="91"/>
    </row>
    <row r="682">
      <c r="B682" s="85"/>
      <c r="C682" s="85"/>
      <c r="F682" s="84"/>
      <c r="G682" s="85"/>
      <c r="H682" s="85"/>
      <c r="L682" s="86"/>
      <c r="Q682" s="91"/>
    </row>
    <row r="683">
      <c r="B683" s="85"/>
      <c r="C683" s="85"/>
      <c r="F683" s="84"/>
      <c r="G683" s="85"/>
      <c r="H683" s="85"/>
      <c r="L683" s="86"/>
      <c r="Q683" s="91"/>
    </row>
    <row r="684">
      <c r="B684" s="85"/>
      <c r="C684" s="85"/>
      <c r="F684" s="84"/>
      <c r="G684" s="85"/>
      <c r="H684" s="85"/>
      <c r="L684" s="86"/>
      <c r="Q684" s="91"/>
    </row>
    <row r="685">
      <c r="B685" s="85"/>
      <c r="C685" s="85"/>
      <c r="F685" s="84"/>
      <c r="G685" s="85"/>
      <c r="H685" s="85"/>
      <c r="L685" s="86"/>
      <c r="Q685" s="91"/>
    </row>
    <row r="686">
      <c r="B686" s="85"/>
      <c r="C686" s="85"/>
      <c r="F686" s="84"/>
      <c r="G686" s="85"/>
      <c r="H686" s="85"/>
      <c r="L686" s="86"/>
      <c r="Q686" s="91"/>
    </row>
    <row r="687">
      <c r="B687" s="85"/>
      <c r="C687" s="85"/>
      <c r="F687" s="84"/>
      <c r="G687" s="85"/>
      <c r="H687" s="85"/>
      <c r="L687" s="86"/>
      <c r="Q687" s="91"/>
    </row>
    <row r="688">
      <c r="B688" s="85"/>
      <c r="C688" s="85"/>
      <c r="F688" s="84"/>
      <c r="G688" s="85"/>
      <c r="H688" s="85"/>
      <c r="L688" s="86"/>
      <c r="Q688" s="91"/>
    </row>
    <row r="689">
      <c r="B689" s="85"/>
      <c r="C689" s="85"/>
      <c r="F689" s="84"/>
      <c r="G689" s="85"/>
      <c r="H689" s="85"/>
      <c r="L689" s="86"/>
      <c r="Q689" s="91"/>
    </row>
    <row r="690">
      <c r="B690" s="85"/>
      <c r="C690" s="85"/>
      <c r="F690" s="84"/>
      <c r="G690" s="85"/>
      <c r="H690" s="85"/>
      <c r="L690" s="86"/>
      <c r="Q690" s="91"/>
    </row>
    <row r="691">
      <c r="B691" s="85"/>
      <c r="C691" s="85"/>
      <c r="F691" s="84"/>
      <c r="G691" s="85"/>
      <c r="H691" s="85"/>
      <c r="L691" s="86"/>
      <c r="Q691" s="91"/>
    </row>
    <row r="692">
      <c r="B692" s="85"/>
      <c r="C692" s="85"/>
      <c r="F692" s="84"/>
      <c r="G692" s="85"/>
      <c r="H692" s="85"/>
      <c r="L692" s="86"/>
      <c r="Q692" s="91"/>
    </row>
    <row r="693">
      <c r="B693" s="85"/>
      <c r="C693" s="85"/>
      <c r="F693" s="84"/>
      <c r="G693" s="85"/>
      <c r="H693" s="85"/>
      <c r="L693" s="86"/>
      <c r="Q693" s="91"/>
    </row>
    <row r="694">
      <c r="B694" s="85"/>
      <c r="C694" s="85"/>
      <c r="F694" s="84"/>
      <c r="G694" s="85"/>
      <c r="H694" s="85"/>
      <c r="L694" s="86"/>
      <c r="Q694" s="91"/>
    </row>
    <row r="695">
      <c r="B695" s="85"/>
      <c r="C695" s="85"/>
      <c r="F695" s="84"/>
      <c r="G695" s="85"/>
      <c r="H695" s="85"/>
      <c r="L695" s="86"/>
      <c r="Q695" s="91"/>
    </row>
    <row r="696">
      <c r="B696" s="85"/>
      <c r="C696" s="85"/>
      <c r="F696" s="84"/>
      <c r="G696" s="85"/>
      <c r="H696" s="85"/>
      <c r="L696" s="86"/>
      <c r="Q696" s="91"/>
    </row>
    <row r="697">
      <c r="B697" s="85"/>
      <c r="C697" s="85"/>
      <c r="F697" s="84"/>
      <c r="G697" s="85"/>
      <c r="H697" s="85"/>
      <c r="L697" s="86"/>
      <c r="Q697" s="91"/>
    </row>
    <row r="698">
      <c r="B698" s="85"/>
      <c r="C698" s="85"/>
      <c r="F698" s="84"/>
      <c r="G698" s="85"/>
      <c r="H698" s="85"/>
      <c r="L698" s="86"/>
      <c r="Q698" s="91"/>
    </row>
    <row r="699">
      <c r="B699" s="85"/>
      <c r="C699" s="85"/>
      <c r="F699" s="84"/>
      <c r="G699" s="85"/>
      <c r="H699" s="85"/>
      <c r="L699" s="86"/>
      <c r="Q699" s="91"/>
    </row>
    <row r="700">
      <c r="B700" s="85"/>
      <c r="C700" s="85"/>
      <c r="F700" s="84"/>
      <c r="G700" s="85"/>
      <c r="H700" s="85"/>
      <c r="L700" s="86"/>
      <c r="Q700" s="91"/>
    </row>
    <row r="701">
      <c r="B701" s="85"/>
      <c r="C701" s="85"/>
      <c r="F701" s="84"/>
      <c r="G701" s="85"/>
      <c r="H701" s="85"/>
      <c r="L701" s="86"/>
      <c r="Q701" s="91"/>
    </row>
    <row r="702">
      <c r="B702" s="85"/>
      <c r="C702" s="85"/>
      <c r="F702" s="84"/>
      <c r="G702" s="85"/>
      <c r="H702" s="85"/>
      <c r="L702" s="86"/>
      <c r="Q702" s="91"/>
    </row>
    <row r="703">
      <c r="B703" s="85"/>
      <c r="C703" s="85"/>
      <c r="F703" s="84"/>
      <c r="G703" s="85"/>
      <c r="H703" s="85"/>
      <c r="L703" s="86"/>
      <c r="Q703" s="91"/>
    </row>
    <row r="704">
      <c r="B704" s="85"/>
      <c r="C704" s="85"/>
      <c r="F704" s="84"/>
      <c r="G704" s="85"/>
      <c r="H704" s="85"/>
      <c r="L704" s="86"/>
      <c r="Q704" s="91"/>
    </row>
    <row r="705">
      <c r="B705" s="85"/>
      <c r="C705" s="85"/>
      <c r="F705" s="84"/>
      <c r="G705" s="85"/>
      <c r="H705" s="85"/>
      <c r="L705" s="86"/>
      <c r="Q705" s="91"/>
    </row>
    <row r="706">
      <c r="B706" s="85"/>
      <c r="C706" s="85"/>
      <c r="F706" s="84"/>
      <c r="G706" s="85"/>
      <c r="H706" s="85"/>
      <c r="L706" s="86"/>
      <c r="Q706" s="91"/>
    </row>
    <row r="707">
      <c r="B707" s="85"/>
      <c r="C707" s="85"/>
      <c r="F707" s="84"/>
      <c r="G707" s="85"/>
      <c r="H707" s="85"/>
      <c r="L707" s="86"/>
      <c r="Q707" s="91"/>
    </row>
    <row r="708">
      <c r="B708" s="85"/>
      <c r="C708" s="85"/>
      <c r="F708" s="84"/>
      <c r="G708" s="85"/>
      <c r="H708" s="85"/>
      <c r="L708" s="86"/>
      <c r="Q708" s="91"/>
    </row>
    <row r="709">
      <c r="B709" s="85"/>
      <c r="C709" s="85"/>
      <c r="F709" s="84"/>
      <c r="G709" s="85"/>
      <c r="H709" s="85"/>
      <c r="L709" s="86"/>
      <c r="Q709" s="91"/>
    </row>
    <row r="710">
      <c r="B710" s="85"/>
      <c r="C710" s="85"/>
      <c r="F710" s="84"/>
      <c r="G710" s="85"/>
      <c r="H710" s="85"/>
      <c r="L710" s="86"/>
      <c r="Q710" s="91"/>
    </row>
    <row r="711">
      <c r="B711" s="85"/>
      <c r="C711" s="85"/>
      <c r="F711" s="84"/>
      <c r="G711" s="85"/>
      <c r="H711" s="85"/>
      <c r="L711" s="86"/>
      <c r="Q711" s="91"/>
    </row>
    <row r="712">
      <c r="B712" s="85"/>
      <c r="C712" s="85"/>
      <c r="F712" s="84"/>
      <c r="G712" s="85"/>
      <c r="H712" s="85"/>
      <c r="L712" s="86"/>
      <c r="Q712" s="91"/>
    </row>
    <row r="713">
      <c r="B713" s="85"/>
      <c r="C713" s="85"/>
      <c r="F713" s="84"/>
      <c r="G713" s="85"/>
      <c r="H713" s="85"/>
      <c r="L713" s="86"/>
      <c r="Q713" s="91"/>
    </row>
    <row r="714">
      <c r="B714" s="85"/>
      <c r="C714" s="85"/>
      <c r="F714" s="84"/>
      <c r="G714" s="85"/>
      <c r="H714" s="85"/>
      <c r="L714" s="86"/>
      <c r="Q714" s="91"/>
    </row>
    <row r="715">
      <c r="B715" s="85"/>
      <c r="C715" s="85"/>
      <c r="F715" s="84"/>
      <c r="G715" s="85"/>
      <c r="H715" s="85"/>
      <c r="L715" s="86"/>
      <c r="Q715" s="91"/>
    </row>
    <row r="716">
      <c r="B716" s="85"/>
      <c r="C716" s="85"/>
      <c r="F716" s="84"/>
      <c r="G716" s="85"/>
      <c r="H716" s="85"/>
      <c r="L716" s="86"/>
      <c r="Q716" s="91"/>
    </row>
    <row r="717">
      <c r="B717" s="85"/>
      <c r="C717" s="85"/>
      <c r="F717" s="84"/>
      <c r="G717" s="85"/>
      <c r="H717" s="85"/>
      <c r="L717" s="86"/>
      <c r="Q717" s="91"/>
    </row>
    <row r="718">
      <c r="B718" s="85"/>
      <c r="C718" s="85"/>
      <c r="F718" s="84"/>
      <c r="G718" s="85"/>
      <c r="H718" s="85"/>
      <c r="L718" s="86"/>
      <c r="Q718" s="91"/>
    </row>
    <row r="719">
      <c r="B719" s="85"/>
      <c r="C719" s="85"/>
      <c r="F719" s="84"/>
      <c r="G719" s="85"/>
      <c r="H719" s="85"/>
      <c r="L719" s="86"/>
      <c r="Q719" s="91"/>
    </row>
    <row r="720">
      <c r="B720" s="85"/>
      <c r="C720" s="85"/>
      <c r="F720" s="84"/>
      <c r="G720" s="85"/>
      <c r="H720" s="85"/>
      <c r="L720" s="86"/>
      <c r="Q720" s="91"/>
    </row>
    <row r="721">
      <c r="B721" s="85"/>
      <c r="C721" s="85"/>
      <c r="F721" s="84"/>
      <c r="G721" s="85"/>
      <c r="H721" s="85"/>
      <c r="L721" s="86"/>
      <c r="Q721" s="91"/>
    </row>
    <row r="722">
      <c r="B722" s="85"/>
      <c r="C722" s="85"/>
      <c r="F722" s="84"/>
      <c r="G722" s="85"/>
      <c r="H722" s="85"/>
      <c r="L722" s="86"/>
      <c r="Q722" s="91"/>
    </row>
    <row r="723">
      <c r="B723" s="85"/>
      <c r="C723" s="85"/>
      <c r="F723" s="84"/>
      <c r="G723" s="85"/>
      <c r="H723" s="85"/>
      <c r="L723" s="86"/>
      <c r="Q723" s="91"/>
    </row>
    <row r="724">
      <c r="B724" s="85"/>
      <c r="C724" s="85"/>
      <c r="F724" s="84"/>
      <c r="G724" s="85"/>
      <c r="H724" s="85"/>
      <c r="L724" s="86"/>
      <c r="Q724" s="91"/>
    </row>
    <row r="725">
      <c r="B725" s="85"/>
      <c r="C725" s="85"/>
      <c r="F725" s="84"/>
      <c r="G725" s="85"/>
      <c r="H725" s="85"/>
      <c r="L725" s="86"/>
      <c r="Q725" s="91"/>
    </row>
    <row r="726">
      <c r="B726" s="85"/>
      <c r="C726" s="85"/>
      <c r="F726" s="84"/>
      <c r="G726" s="85"/>
      <c r="H726" s="85"/>
      <c r="L726" s="86"/>
      <c r="Q726" s="91"/>
    </row>
    <row r="727">
      <c r="B727" s="85"/>
      <c r="C727" s="85"/>
      <c r="F727" s="84"/>
      <c r="G727" s="85"/>
      <c r="H727" s="85"/>
      <c r="L727" s="86"/>
      <c r="Q727" s="91"/>
    </row>
    <row r="728">
      <c r="B728" s="85"/>
      <c r="C728" s="85"/>
      <c r="F728" s="84"/>
      <c r="G728" s="85"/>
      <c r="H728" s="85"/>
      <c r="L728" s="86"/>
      <c r="Q728" s="91"/>
    </row>
    <row r="729">
      <c r="B729" s="85"/>
      <c r="C729" s="85"/>
      <c r="F729" s="84"/>
      <c r="G729" s="85"/>
      <c r="H729" s="85"/>
      <c r="L729" s="86"/>
      <c r="Q729" s="91"/>
    </row>
    <row r="730">
      <c r="B730" s="85"/>
      <c r="C730" s="85"/>
      <c r="F730" s="84"/>
      <c r="G730" s="85"/>
      <c r="H730" s="85"/>
      <c r="L730" s="86"/>
      <c r="Q730" s="91"/>
    </row>
    <row r="731">
      <c r="B731" s="85"/>
      <c r="C731" s="85"/>
      <c r="F731" s="84"/>
      <c r="G731" s="85"/>
      <c r="H731" s="85"/>
      <c r="L731" s="86"/>
      <c r="Q731" s="91"/>
    </row>
    <row r="732">
      <c r="B732" s="85"/>
      <c r="C732" s="85"/>
      <c r="F732" s="84"/>
      <c r="G732" s="85"/>
      <c r="H732" s="85"/>
      <c r="L732" s="86"/>
      <c r="Q732" s="91"/>
    </row>
    <row r="733">
      <c r="B733" s="85"/>
      <c r="C733" s="85"/>
      <c r="F733" s="84"/>
      <c r="G733" s="85"/>
      <c r="H733" s="85"/>
      <c r="L733" s="86"/>
      <c r="Q733" s="91"/>
    </row>
    <row r="734">
      <c r="B734" s="85"/>
      <c r="C734" s="85"/>
      <c r="F734" s="84"/>
      <c r="G734" s="85"/>
      <c r="H734" s="85"/>
      <c r="L734" s="86"/>
      <c r="Q734" s="91"/>
    </row>
    <row r="735">
      <c r="B735" s="85"/>
      <c r="C735" s="85"/>
      <c r="F735" s="84"/>
      <c r="G735" s="85"/>
      <c r="H735" s="85"/>
      <c r="L735" s="86"/>
      <c r="Q735" s="91"/>
    </row>
    <row r="736">
      <c r="B736" s="85"/>
      <c r="C736" s="85"/>
      <c r="F736" s="84"/>
      <c r="G736" s="85"/>
      <c r="H736" s="85"/>
      <c r="L736" s="86"/>
      <c r="Q736" s="91"/>
    </row>
    <row r="737">
      <c r="B737" s="85"/>
      <c r="C737" s="85"/>
      <c r="F737" s="84"/>
      <c r="G737" s="85"/>
      <c r="H737" s="85"/>
      <c r="L737" s="86"/>
      <c r="Q737" s="91"/>
    </row>
    <row r="738">
      <c r="B738" s="85"/>
      <c r="C738" s="85"/>
      <c r="F738" s="84"/>
      <c r="G738" s="85"/>
      <c r="H738" s="85"/>
      <c r="L738" s="86"/>
      <c r="Q738" s="91"/>
    </row>
    <row r="739">
      <c r="B739" s="85"/>
      <c r="C739" s="85"/>
      <c r="F739" s="84"/>
      <c r="G739" s="85"/>
      <c r="H739" s="85"/>
      <c r="L739" s="86"/>
      <c r="Q739" s="91"/>
    </row>
    <row r="740">
      <c r="B740" s="85"/>
      <c r="C740" s="85"/>
      <c r="F740" s="84"/>
      <c r="G740" s="85"/>
      <c r="H740" s="85"/>
      <c r="L740" s="86"/>
      <c r="Q740" s="91"/>
    </row>
    <row r="741">
      <c r="B741" s="85"/>
      <c r="C741" s="85"/>
      <c r="F741" s="84"/>
      <c r="G741" s="85"/>
      <c r="H741" s="85"/>
      <c r="L741" s="86"/>
      <c r="Q741" s="91"/>
    </row>
    <row r="742">
      <c r="B742" s="85"/>
      <c r="C742" s="85"/>
      <c r="F742" s="84"/>
      <c r="G742" s="85"/>
      <c r="H742" s="85"/>
      <c r="L742" s="86"/>
      <c r="Q742" s="91"/>
    </row>
    <row r="743">
      <c r="B743" s="85"/>
      <c r="C743" s="85"/>
      <c r="F743" s="84"/>
      <c r="G743" s="85"/>
      <c r="H743" s="85"/>
      <c r="L743" s="86"/>
      <c r="Q743" s="91"/>
    </row>
    <row r="744">
      <c r="B744" s="85"/>
      <c r="C744" s="85"/>
      <c r="F744" s="84"/>
      <c r="G744" s="85"/>
      <c r="H744" s="85"/>
      <c r="L744" s="86"/>
      <c r="Q744" s="91"/>
    </row>
    <row r="745">
      <c r="B745" s="85"/>
      <c r="C745" s="85"/>
      <c r="F745" s="84"/>
      <c r="G745" s="85"/>
      <c r="H745" s="85"/>
      <c r="L745" s="86"/>
      <c r="Q745" s="91"/>
    </row>
    <row r="746">
      <c r="B746" s="85"/>
      <c r="C746" s="85"/>
      <c r="F746" s="84"/>
      <c r="G746" s="85"/>
      <c r="H746" s="85"/>
      <c r="L746" s="86"/>
      <c r="Q746" s="91"/>
    </row>
    <row r="747">
      <c r="B747" s="85"/>
      <c r="C747" s="85"/>
      <c r="F747" s="84"/>
      <c r="G747" s="85"/>
      <c r="H747" s="85"/>
      <c r="L747" s="86"/>
      <c r="Q747" s="91"/>
    </row>
    <row r="748">
      <c r="B748" s="85"/>
      <c r="C748" s="85"/>
      <c r="F748" s="84"/>
      <c r="G748" s="85"/>
      <c r="H748" s="85"/>
      <c r="L748" s="86"/>
      <c r="Q748" s="91"/>
    </row>
    <row r="749">
      <c r="B749" s="85"/>
      <c r="C749" s="85"/>
      <c r="F749" s="84"/>
      <c r="G749" s="85"/>
      <c r="H749" s="85"/>
      <c r="L749" s="86"/>
      <c r="Q749" s="91"/>
    </row>
    <row r="750">
      <c r="B750" s="85"/>
      <c r="C750" s="85"/>
      <c r="F750" s="84"/>
      <c r="G750" s="85"/>
      <c r="H750" s="85"/>
      <c r="L750" s="86"/>
      <c r="Q750" s="91"/>
    </row>
    <row r="751">
      <c r="B751" s="85"/>
      <c r="C751" s="85"/>
      <c r="F751" s="84"/>
      <c r="G751" s="85"/>
      <c r="H751" s="85"/>
      <c r="L751" s="86"/>
      <c r="Q751" s="91"/>
    </row>
    <row r="752">
      <c r="B752" s="85"/>
      <c r="C752" s="85"/>
      <c r="F752" s="84"/>
      <c r="G752" s="85"/>
      <c r="H752" s="85"/>
      <c r="L752" s="86"/>
      <c r="Q752" s="91"/>
    </row>
    <row r="753">
      <c r="B753" s="85"/>
      <c r="C753" s="85"/>
      <c r="F753" s="84"/>
      <c r="G753" s="85"/>
      <c r="H753" s="85"/>
      <c r="L753" s="86"/>
      <c r="Q753" s="91"/>
    </row>
    <row r="754">
      <c r="B754" s="85"/>
      <c r="C754" s="85"/>
      <c r="F754" s="84"/>
      <c r="G754" s="85"/>
      <c r="H754" s="85"/>
      <c r="L754" s="86"/>
      <c r="Q754" s="91"/>
    </row>
    <row r="755">
      <c r="B755" s="85"/>
      <c r="C755" s="85"/>
      <c r="F755" s="84"/>
      <c r="G755" s="85"/>
      <c r="H755" s="85"/>
      <c r="L755" s="86"/>
      <c r="Q755" s="91"/>
    </row>
    <row r="756">
      <c r="B756" s="85"/>
      <c r="C756" s="85"/>
      <c r="F756" s="84"/>
      <c r="G756" s="85"/>
      <c r="H756" s="85"/>
      <c r="L756" s="86"/>
      <c r="Q756" s="91"/>
    </row>
    <row r="757">
      <c r="B757" s="85"/>
      <c r="C757" s="85"/>
      <c r="F757" s="84"/>
      <c r="G757" s="85"/>
      <c r="H757" s="85"/>
      <c r="L757" s="86"/>
      <c r="Q757" s="91"/>
    </row>
    <row r="758">
      <c r="B758" s="85"/>
      <c r="C758" s="85"/>
      <c r="F758" s="84"/>
      <c r="G758" s="85"/>
      <c r="H758" s="85"/>
      <c r="L758" s="86"/>
      <c r="Q758" s="91"/>
    </row>
    <row r="759">
      <c r="B759" s="85"/>
      <c r="C759" s="85"/>
      <c r="F759" s="84"/>
      <c r="G759" s="85"/>
      <c r="H759" s="85"/>
      <c r="L759" s="86"/>
      <c r="Q759" s="91"/>
    </row>
    <row r="760">
      <c r="B760" s="85"/>
      <c r="C760" s="85"/>
      <c r="F760" s="84"/>
      <c r="G760" s="85"/>
      <c r="H760" s="85"/>
      <c r="L760" s="86"/>
      <c r="Q760" s="91"/>
    </row>
    <row r="761">
      <c r="B761" s="85"/>
      <c r="C761" s="85"/>
      <c r="F761" s="84"/>
      <c r="G761" s="85"/>
      <c r="H761" s="85"/>
      <c r="L761" s="86"/>
      <c r="Q761" s="91"/>
    </row>
    <row r="762">
      <c r="B762" s="85"/>
      <c r="C762" s="85"/>
      <c r="F762" s="84"/>
      <c r="G762" s="85"/>
      <c r="H762" s="85"/>
      <c r="L762" s="86"/>
      <c r="Q762" s="91"/>
    </row>
    <row r="763">
      <c r="B763" s="85"/>
      <c r="C763" s="85"/>
      <c r="F763" s="84"/>
      <c r="G763" s="85"/>
      <c r="H763" s="85"/>
      <c r="L763" s="86"/>
      <c r="Q763" s="91"/>
    </row>
    <row r="764">
      <c r="B764" s="85"/>
      <c r="C764" s="85"/>
      <c r="F764" s="84"/>
      <c r="G764" s="85"/>
      <c r="H764" s="85"/>
      <c r="L764" s="86"/>
      <c r="Q764" s="91"/>
    </row>
    <row r="765">
      <c r="B765" s="85"/>
      <c r="C765" s="85"/>
      <c r="F765" s="84"/>
      <c r="G765" s="85"/>
      <c r="H765" s="85"/>
      <c r="L765" s="86"/>
      <c r="Q765" s="91"/>
    </row>
    <row r="766">
      <c r="B766" s="85"/>
      <c r="C766" s="85"/>
      <c r="F766" s="84"/>
      <c r="G766" s="85"/>
      <c r="H766" s="85"/>
      <c r="L766" s="86"/>
      <c r="Q766" s="91"/>
    </row>
    <row r="767">
      <c r="B767" s="85"/>
      <c r="C767" s="85"/>
      <c r="F767" s="84"/>
      <c r="G767" s="85"/>
      <c r="H767" s="85"/>
      <c r="L767" s="86"/>
      <c r="Q767" s="91"/>
    </row>
    <row r="768">
      <c r="B768" s="85"/>
      <c r="C768" s="85"/>
      <c r="F768" s="84"/>
      <c r="G768" s="85"/>
      <c r="H768" s="85"/>
      <c r="L768" s="86"/>
      <c r="Q768" s="91"/>
    </row>
    <row r="769">
      <c r="B769" s="85"/>
      <c r="C769" s="85"/>
      <c r="F769" s="84"/>
      <c r="G769" s="85"/>
      <c r="H769" s="85"/>
      <c r="L769" s="86"/>
      <c r="Q769" s="91"/>
    </row>
    <row r="770">
      <c r="B770" s="85"/>
      <c r="C770" s="85"/>
      <c r="F770" s="84"/>
      <c r="G770" s="85"/>
      <c r="H770" s="85"/>
      <c r="L770" s="86"/>
      <c r="Q770" s="91"/>
    </row>
    <row r="771">
      <c r="B771" s="85"/>
      <c r="C771" s="85"/>
      <c r="F771" s="84"/>
      <c r="G771" s="85"/>
      <c r="H771" s="85"/>
      <c r="L771" s="86"/>
      <c r="Q771" s="91"/>
    </row>
    <row r="772">
      <c r="B772" s="85"/>
      <c r="C772" s="85"/>
      <c r="F772" s="84"/>
      <c r="G772" s="85"/>
      <c r="H772" s="85"/>
      <c r="L772" s="86"/>
      <c r="Q772" s="91"/>
    </row>
    <row r="773">
      <c r="B773" s="85"/>
      <c r="C773" s="85"/>
      <c r="F773" s="84"/>
      <c r="G773" s="85"/>
      <c r="H773" s="85"/>
      <c r="L773" s="86"/>
      <c r="Q773" s="91"/>
    </row>
    <row r="774">
      <c r="B774" s="85"/>
      <c r="C774" s="85"/>
      <c r="F774" s="84"/>
      <c r="G774" s="85"/>
      <c r="H774" s="85"/>
      <c r="L774" s="86"/>
      <c r="Q774" s="91"/>
    </row>
    <row r="775">
      <c r="B775" s="85"/>
      <c r="C775" s="85"/>
      <c r="F775" s="84"/>
      <c r="G775" s="85"/>
      <c r="H775" s="85"/>
      <c r="L775" s="86"/>
      <c r="Q775" s="91"/>
    </row>
    <row r="776">
      <c r="B776" s="85"/>
      <c r="C776" s="85"/>
      <c r="F776" s="84"/>
      <c r="G776" s="85"/>
      <c r="H776" s="85"/>
      <c r="L776" s="86"/>
      <c r="Q776" s="91"/>
    </row>
    <row r="777">
      <c r="B777" s="85"/>
      <c r="C777" s="85"/>
      <c r="F777" s="84"/>
      <c r="G777" s="85"/>
      <c r="H777" s="85"/>
      <c r="L777" s="86"/>
      <c r="Q777" s="91"/>
    </row>
    <row r="778">
      <c r="B778" s="85"/>
      <c r="C778" s="85"/>
      <c r="F778" s="84"/>
      <c r="G778" s="85"/>
      <c r="H778" s="85"/>
      <c r="L778" s="86"/>
      <c r="Q778" s="91"/>
    </row>
    <row r="779">
      <c r="B779" s="85"/>
      <c r="C779" s="85"/>
      <c r="F779" s="84"/>
      <c r="G779" s="85"/>
      <c r="H779" s="85"/>
      <c r="L779" s="86"/>
      <c r="Q779" s="91"/>
    </row>
    <row r="780">
      <c r="B780" s="85"/>
      <c r="C780" s="85"/>
      <c r="F780" s="84"/>
      <c r="G780" s="85"/>
      <c r="H780" s="85"/>
      <c r="L780" s="86"/>
      <c r="Q780" s="91"/>
    </row>
    <row r="781">
      <c r="B781" s="85"/>
      <c r="C781" s="85"/>
      <c r="F781" s="84"/>
      <c r="G781" s="85"/>
      <c r="H781" s="85"/>
      <c r="L781" s="86"/>
      <c r="Q781" s="91"/>
    </row>
    <row r="782">
      <c r="B782" s="85"/>
      <c r="C782" s="85"/>
      <c r="F782" s="84"/>
      <c r="G782" s="85"/>
      <c r="H782" s="85"/>
      <c r="L782" s="86"/>
      <c r="Q782" s="91"/>
    </row>
    <row r="783">
      <c r="B783" s="85"/>
      <c r="C783" s="85"/>
      <c r="F783" s="84"/>
      <c r="G783" s="85"/>
      <c r="H783" s="85"/>
      <c r="L783" s="86"/>
      <c r="Q783" s="91"/>
    </row>
    <row r="784">
      <c r="B784" s="85"/>
      <c r="C784" s="85"/>
      <c r="F784" s="84"/>
      <c r="G784" s="85"/>
      <c r="H784" s="85"/>
      <c r="L784" s="86"/>
      <c r="Q784" s="91"/>
    </row>
    <row r="785">
      <c r="B785" s="85"/>
      <c r="C785" s="85"/>
      <c r="F785" s="84"/>
      <c r="G785" s="85"/>
      <c r="H785" s="85"/>
      <c r="L785" s="86"/>
      <c r="Q785" s="91"/>
    </row>
    <row r="786">
      <c r="B786" s="85"/>
      <c r="C786" s="85"/>
      <c r="F786" s="84"/>
      <c r="G786" s="85"/>
      <c r="H786" s="85"/>
      <c r="L786" s="86"/>
      <c r="Q786" s="91"/>
    </row>
    <row r="787">
      <c r="B787" s="85"/>
      <c r="C787" s="85"/>
      <c r="F787" s="84"/>
      <c r="G787" s="85"/>
      <c r="H787" s="85"/>
      <c r="L787" s="86"/>
      <c r="Q787" s="91"/>
    </row>
    <row r="788">
      <c r="B788" s="85"/>
      <c r="C788" s="85"/>
      <c r="F788" s="84"/>
      <c r="G788" s="85"/>
      <c r="H788" s="85"/>
      <c r="L788" s="86"/>
      <c r="Q788" s="91"/>
    </row>
    <row r="789">
      <c r="B789" s="85"/>
      <c r="C789" s="85"/>
      <c r="F789" s="84"/>
      <c r="G789" s="85"/>
      <c r="H789" s="85"/>
      <c r="L789" s="86"/>
      <c r="Q789" s="91"/>
    </row>
    <row r="790">
      <c r="B790" s="85"/>
      <c r="C790" s="85"/>
      <c r="F790" s="84"/>
      <c r="G790" s="85"/>
      <c r="H790" s="85"/>
      <c r="L790" s="86"/>
      <c r="Q790" s="91"/>
    </row>
    <row r="791">
      <c r="B791" s="85"/>
      <c r="C791" s="85"/>
      <c r="F791" s="84"/>
      <c r="G791" s="85"/>
      <c r="H791" s="85"/>
      <c r="L791" s="86"/>
      <c r="Q791" s="91"/>
    </row>
    <row r="792">
      <c r="B792" s="85"/>
      <c r="C792" s="85"/>
      <c r="F792" s="84"/>
      <c r="G792" s="85"/>
      <c r="H792" s="85"/>
      <c r="L792" s="86"/>
      <c r="Q792" s="91"/>
    </row>
    <row r="793">
      <c r="B793" s="85"/>
      <c r="C793" s="85"/>
      <c r="F793" s="84"/>
      <c r="G793" s="85"/>
      <c r="H793" s="85"/>
      <c r="L793" s="86"/>
      <c r="Q793" s="91"/>
    </row>
    <row r="794">
      <c r="B794" s="85"/>
      <c r="C794" s="85"/>
      <c r="F794" s="84"/>
      <c r="G794" s="85"/>
      <c r="H794" s="85"/>
      <c r="L794" s="86"/>
      <c r="Q794" s="91"/>
    </row>
    <row r="795">
      <c r="B795" s="85"/>
      <c r="C795" s="85"/>
      <c r="F795" s="84"/>
      <c r="G795" s="85"/>
      <c r="H795" s="85"/>
      <c r="L795" s="86"/>
      <c r="Q795" s="91"/>
    </row>
    <row r="796">
      <c r="B796" s="85"/>
      <c r="C796" s="85"/>
      <c r="F796" s="84"/>
      <c r="G796" s="85"/>
      <c r="H796" s="85"/>
      <c r="L796" s="86"/>
      <c r="Q796" s="91"/>
    </row>
    <row r="797">
      <c r="B797" s="85"/>
      <c r="C797" s="85"/>
      <c r="F797" s="84"/>
      <c r="G797" s="85"/>
      <c r="H797" s="85"/>
      <c r="L797" s="86"/>
      <c r="Q797" s="91"/>
    </row>
    <row r="798">
      <c r="B798" s="85"/>
      <c r="C798" s="85"/>
      <c r="F798" s="84"/>
      <c r="G798" s="85"/>
      <c r="H798" s="85"/>
      <c r="L798" s="86"/>
      <c r="Q798" s="91"/>
    </row>
    <row r="799">
      <c r="B799" s="85"/>
      <c r="C799" s="85"/>
      <c r="F799" s="84"/>
      <c r="G799" s="85"/>
      <c r="H799" s="85"/>
      <c r="L799" s="86"/>
      <c r="Q799" s="91"/>
    </row>
    <row r="800">
      <c r="B800" s="85"/>
      <c r="C800" s="85"/>
      <c r="F800" s="84"/>
      <c r="G800" s="85"/>
      <c r="H800" s="85"/>
      <c r="L800" s="86"/>
      <c r="Q800" s="91"/>
    </row>
    <row r="801">
      <c r="B801" s="85"/>
      <c r="C801" s="85"/>
      <c r="F801" s="84"/>
      <c r="G801" s="85"/>
      <c r="H801" s="85"/>
      <c r="L801" s="86"/>
      <c r="Q801" s="91"/>
    </row>
    <row r="802">
      <c r="B802" s="85"/>
      <c r="C802" s="85"/>
      <c r="F802" s="84"/>
      <c r="G802" s="85"/>
      <c r="H802" s="85"/>
      <c r="L802" s="86"/>
      <c r="Q802" s="91"/>
    </row>
    <row r="803">
      <c r="B803" s="85"/>
      <c r="C803" s="85"/>
      <c r="F803" s="84"/>
      <c r="G803" s="85"/>
      <c r="H803" s="85"/>
      <c r="L803" s="86"/>
      <c r="Q803" s="91"/>
    </row>
    <row r="804">
      <c r="B804" s="85"/>
      <c r="C804" s="85"/>
      <c r="F804" s="84"/>
      <c r="G804" s="85"/>
      <c r="H804" s="85"/>
      <c r="L804" s="86"/>
      <c r="Q804" s="91"/>
    </row>
    <row r="805">
      <c r="B805" s="85"/>
      <c r="C805" s="85"/>
      <c r="F805" s="84"/>
      <c r="G805" s="85"/>
      <c r="H805" s="85"/>
      <c r="L805" s="86"/>
      <c r="Q805" s="91"/>
    </row>
    <row r="806">
      <c r="B806" s="85"/>
      <c r="C806" s="85"/>
      <c r="F806" s="84"/>
      <c r="G806" s="85"/>
      <c r="H806" s="85"/>
      <c r="L806" s="86"/>
      <c r="Q806" s="91"/>
    </row>
    <row r="807">
      <c r="B807" s="85"/>
      <c r="C807" s="85"/>
      <c r="F807" s="84"/>
      <c r="G807" s="85"/>
      <c r="H807" s="85"/>
      <c r="L807" s="86"/>
      <c r="Q807" s="91"/>
    </row>
    <row r="808">
      <c r="B808" s="85"/>
      <c r="C808" s="85"/>
      <c r="F808" s="84"/>
      <c r="G808" s="85"/>
      <c r="H808" s="85"/>
      <c r="L808" s="86"/>
      <c r="Q808" s="91"/>
    </row>
    <row r="809">
      <c r="B809" s="85"/>
      <c r="C809" s="85"/>
      <c r="F809" s="84"/>
      <c r="G809" s="85"/>
      <c r="H809" s="85"/>
      <c r="L809" s="86"/>
      <c r="Q809" s="91"/>
    </row>
    <row r="810">
      <c r="B810" s="85"/>
      <c r="C810" s="85"/>
      <c r="F810" s="84"/>
      <c r="G810" s="85"/>
      <c r="H810" s="85"/>
      <c r="L810" s="86"/>
      <c r="Q810" s="91"/>
    </row>
    <row r="811">
      <c r="B811" s="85"/>
      <c r="C811" s="85"/>
      <c r="F811" s="84"/>
      <c r="G811" s="85"/>
      <c r="H811" s="85"/>
      <c r="L811" s="86"/>
      <c r="Q811" s="91"/>
    </row>
    <row r="812">
      <c r="B812" s="85"/>
      <c r="C812" s="85"/>
      <c r="F812" s="84"/>
      <c r="G812" s="85"/>
      <c r="H812" s="85"/>
      <c r="L812" s="86"/>
      <c r="Q812" s="91"/>
    </row>
    <row r="813">
      <c r="B813" s="85"/>
      <c r="C813" s="85"/>
      <c r="F813" s="84"/>
      <c r="G813" s="85"/>
      <c r="H813" s="85"/>
      <c r="L813" s="86"/>
      <c r="Q813" s="91"/>
    </row>
    <row r="814">
      <c r="B814" s="85"/>
      <c r="C814" s="85"/>
      <c r="F814" s="84"/>
      <c r="G814" s="85"/>
      <c r="H814" s="85"/>
      <c r="L814" s="86"/>
      <c r="Q814" s="91"/>
    </row>
    <row r="815">
      <c r="B815" s="85"/>
      <c r="C815" s="85"/>
      <c r="F815" s="84"/>
      <c r="G815" s="85"/>
      <c r="H815" s="85"/>
      <c r="L815" s="86"/>
      <c r="Q815" s="91"/>
    </row>
    <row r="816">
      <c r="B816" s="85"/>
      <c r="C816" s="85"/>
      <c r="F816" s="84"/>
      <c r="G816" s="85"/>
      <c r="H816" s="85"/>
      <c r="L816" s="86"/>
      <c r="Q816" s="91"/>
    </row>
    <row r="817">
      <c r="B817" s="85"/>
      <c r="C817" s="85"/>
      <c r="F817" s="84"/>
      <c r="G817" s="85"/>
      <c r="H817" s="85"/>
      <c r="L817" s="86"/>
      <c r="Q817" s="91"/>
    </row>
    <row r="818">
      <c r="B818" s="85"/>
      <c r="C818" s="85"/>
      <c r="F818" s="84"/>
      <c r="G818" s="85"/>
      <c r="H818" s="85"/>
      <c r="L818" s="86"/>
      <c r="Q818" s="91"/>
    </row>
    <row r="819">
      <c r="B819" s="85"/>
      <c r="C819" s="85"/>
      <c r="F819" s="84"/>
      <c r="G819" s="85"/>
      <c r="H819" s="85"/>
      <c r="L819" s="86"/>
      <c r="Q819" s="91"/>
    </row>
    <row r="820">
      <c r="B820" s="85"/>
      <c r="C820" s="85"/>
      <c r="F820" s="84"/>
      <c r="G820" s="85"/>
      <c r="H820" s="85"/>
      <c r="L820" s="86"/>
      <c r="Q820" s="91"/>
    </row>
    <row r="821">
      <c r="B821" s="85"/>
      <c r="C821" s="85"/>
      <c r="F821" s="84"/>
      <c r="G821" s="85"/>
      <c r="H821" s="85"/>
      <c r="L821" s="86"/>
      <c r="Q821" s="91"/>
    </row>
    <row r="822">
      <c r="B822" s="85"/>
      <c r="C822" s="85"/>
      <c r="F822" s="84"/>
      <c r="G822" s="85"/>
      <c r="H822" s="85"/>
      <c r="L822" s="86"/>
      <c r="Q822" s="91"/>
    </row>
    <row r="823">
      <c r="B823" s="85"/>
      <c r="C823" s="85"/>
      <c r="F823" s="84"/>
      <c r="G823" s="85"/>
      <c r="H823" s="85"/>
      <c r="L823" s="86"/>
      <c r="Q823" s="91"/>
    </row>
    <row r="824">
      <c r="B824" s="85"/>
      <c r="C824" s="85"/>
      <c r="F824" s="84"/>
      <c r="G824" s="85"/>
      <c r="H824" s="85"/>
      <c r="L824" s="86"/>
      <c r="Q824" s="91"/>
    </row>
    <row r="825">
      <c r="B825" s="85"/>
      <c r="C825" s="85"/>
      <c r="F825" s="84"/>
      <c r="G825" s="85"/>
      <c r="H825" s="85"/>
      <c r="L825" s="86"/>
      <c r="Q825" s="91"/>
    </row>
    <row r="826">
      <c r="B826" s="85"/>
      <c r="C826" s="85"/>
      <c r="F826" s="84"/>
      <c r="G826" s="85"/>
      <c r="H826" s="85"/>
      <c r="L826" s="86"/>
      <c r="Q826" s="91"/>
    </row>
    <row r="827">
      <c r="B827" s="85"/>
      <c r="C827" s="85"/>
      <c r="F827" s="84"/>
      <c r="G827" s="85"/>
      <c r="H827" s="85"/>
      <c r="L827" s="86"/>
      <c r="Q827" s="91"/>
    </row>
    <row r="828">
      <c r="B828" s="85"/>
      <c r="C828" s="85"/>
      <c r="F828" s="84"/>
      <c r="G828" s="85"/>
      <c r="H828" s="85"/>
      <c r="L828" s="86"/>
      <c r="Q828" s="91"/>
    </row>
    <row r="829">
      <c r="B829" s="85"/>
      <c r="C829" s="85"/>
      <c r="F829" s="84"/>
      <c r="G829" s="85"/>
      <c r="H829" s="85"/>
      <c r="L829" s="86"/>
      <c r="Q829" s="91"/>
    </row>
    <row r="830">
      <c r="B830" s="85"/>
      <c r="C830" s="85"/>
      <c r="F830" s="84"/>
      <c r="G830" s="85"/>
      <c r="H830" s="85"/>
      <c r="L830" s="86"/>
      <c r="Q830" s="91"/>
    </row>
    <row r="831">
      <c r="B831" s="85"/>
      <c r="C831" s="85"/>
      <c r="F831" s="84"/>
      <c r="G831" s="85"/>
      <c r="H831" s="85"/>
      <c r="L831" s="86"/>
      <c r="Q831" s="91"/>
    </row>
    <row r="832">
      <c r="B832" s="85"/>
      <c r="C832" s="85"/>
      <c r="F832" s="84"/>
      <c r="G832" s="85"/>
      <c r="H832" s="85"/>
      <c r="L832" s="86"/>
      <c r="Q832" s="91"/>
    </row>
    <row r="833">
      <c r="B833" s="85"/>
      <c r="C833" s="85"/>
      <c r="F833" s="84"/>
      <c r="G833" s="85"/>
      <c r="H833" s="85"/>
      <c r="L833" s="86"/>
      <c r="Q833" s="91"/>
    </row>
    <row r="834">
      <c r="B834" s="85"/>
      <c r="C834" s="85"/>
      <c r="F834" s="84"/>
      <c r="G834" s="85"/>
      <c r="H834" s="85"/>
      <c r="L834" s="86"/>
      <c r="Q834" s="91"/>
    </row>
    <row r="835">
      <c r="B835" s="85"/>
      <c r="C835" s="85"/>
      <c r="F835" s="84"/>
      <c r="G835" s="85"/>
      <c r="H835" s="85"/>
      <c r="L835" s="86"/>
      <c r="Q835" s="91"/>
    </row>
    <row r="836">
      <c r="B836" s="85"/>
      <c r="C836" s="85"/>
      <c r="F836" s="84"/>
      <c r="G836" s="85"/>
      <c r="H836" s="85"/>
      <c r="L836" s="86"/>
      <c r="Q836" s="91"/>
    </row>
    <row r="837">
      <c r="B837" s="85"/>
      <c r="C837" s="85"/>
      <c r="F837" s="84"/>
      <c r="G837" s="85"/>
      <c r="H837" s="85"/>
      <c r="L837" s="86"/>
      <c r="Q837" s="91"/>
    </row>
    <row r="838">
      <c r="B838" s="85"/>
      <c r="C838" s="85"/>
      <c r="F838" s="84"/>
      <c r="G838" s="85"/>
      <c r="H838" s="85"/>
      <c r="L838" s="86"/>
      <c r="Q838" s="91"/>
    </row>
    <row r="839">
      <c r="B839" s="85"/>
      <c r="C839" s="85"/>
      <c r="F839" s="84"/>
      <c r="G839" s="85"/>
      <c r="H839" s="85"/>
      <c r="L839" s="86"/>
      <c r="Q839" s="91"/>
    </row>
    <row r="840">
      <c r="B840" s="85"/>
      <c r="C840" s="85"/>
      <c r="F840" s="84"/>
      <c r="G840" s="85"/>
      <c r="H840" s="85"/>
      <c r="L840" s="86"/>
      <c r="Q840" s="91"/>
    </row>
    <row r="841">
      <c r="B841" s="85"/>
      <c r="C841" s="85"/>
      <c r="F841" s="84"/>
      <c r="G841" s="85"/>
      <c r="H841" s="85"/>
      <c r="L841" s="86"/>
      <c r="Q841" s="91"/>
    </row>
    <row r="842">
      <c r="B842" s="85"/>
      <c r="C842" s="85"/>
      <c r="F842" s="84"/>
      <c r="G842" s="85"/>
      <c r="H842" s="85"/>
      <c r="L842" s="86"/>
      <c r="Q842" s="91"/>
    </row>
    <row r="843">
      <c r="B843" s="85"/>
      <c r="C843" s="85"/>
      <c r="F843" s="84"/>
      <c r="G843" s="85"/>
      <c r="H843" s="85"/>
      <c r="L843" s="86"/>
      <c r="Q843" s="91"/>
    </row>
    <row r="844">
      <c r="B844" s="85"/>
      <c r="C844" s="85"/>
      <c r="F844" s="84"/>
      <c r="G844" s="85"/>
      <c r="H844" s="85"/>
      <c r="L844" s="86"/>
      <c r="Q844" s="91"/>
    </row>
    <row r="845">
      <c r="B845" s="85"/>
      <c r="C845" s="85"/>
      <c r="F845" s="84"/>
      <c r="G845" s="85"/>
      <c r="H845" s="85"/>
      <c r="L845" s="86"/>
      <c r="Q845" s="91"/>
    </row>
    <row r="846">
      <c r="B846" s="85"/>
      <c r="C846" s="85"/>
      <c r="F846" s="84"/>
      <c r="G846" s="85"/>
      <c r="H846" s="85"/>
      <c r="L846" s="86"/>
      <c r="Q846" s="91"/>
    </row>
    <row r="847">
      <c r="B847" s="85"/>
      <c r="C847" s="85"/>
      <c r="F847" s="84"/>
      <c r="G847" s="85"/>
      <c r="H847" s="85"/>
      <c r="L847" s="86"/>
      <c r="Q847" s="91"/>
    </row>
    <row r="848">
      <c r="B848" s="85"/>
      <c r="C848" s="85"/>
      <c r="F848" s="84"/>
      <c r="G848" s="85"/>
      <c r="H848" s="85"/>
      <c r="L848" s="86"/>
      <c r="Q848" s="91"/>
    </row>
    <row r="849">
      <c r="B849" s="85"/>
      <c r="C849" s="85"/>
      <c r="F849" s="84"/>
      <c r="G849" s="85"/>
      <c r="H849" s="85"/>
      <c r="L849" s="86"/>
      <c r="Q849" s="91"/>
    </row>
    <row r="850">
      <c r="B850" s="85"/>
      <c r="C850" s="85"/>
      <c r="F850" s="84"/>
      <c r="G850" s="85"/>
      <c r="H850" s="85"/>
      <c r="L850" s="86"/>
      <c r="Q850" s="91"/>
    </row>
    <row r="851">
      <c r="B851" s="85"/>
      <c r="C851" s="85"/>
      <c r="F851" s="84"/>
      <c r="G851" s="85"/>
      <c r="H851" s="85"/>
      <c r="L851" s="86"/>
      <c r="Q851" s="91"/>
    </row>
    <row r="852">
      <c r="B852" s="85"/>
      <c r="C852" s="85"/>
      <c r="F852" s="84"/>
      <c r="G852" s="85"/>
      <c r="H852" s="85"/>
      <c r="L852" s="86"/>
      <c r="Q852" s="91"/>
    </row>
    <row r="853">
      <c r="B853" s="85"/>
      <c r="C853" s="85"/>
      <c r="F853" s="84"/>
      <c r="G853" s="85"/>
      <c r="H853" s="85"/>
      <c r="L853" s="86"/>
      <c r="Q853" s="91"/>
    </row>
    <row r="854">
      <c r="B854" s="85"/>
      <c r="C854" s="85"/>
      <c r="F854" s="84"/>
      <c r="G854" s="85"/>
      <c r="H854" s="85"/>
      <c r="L854" s="86"/>
      <c r="Q854" s="91"/>
    </row>
    <row r="855">
      <c r="B855" s="85"/>
      <c r="C855" s="85"/>
      <c r="F855" s="84"/>
      <c r="G855" s="85"/>
      <c r="H855" s="85"/>
      <c r="L855" s="86"/>
      <c r="Q855" s="91"/>
    </row>
    <row r="856">
      <c r="B856" s="85"/>
      <c r="C856" s="85"/>
      <c r="F856" s="84"/>
      <c r="G856" s="85"/>
      <c r="H856" s="85"/>
      <c r="L856" s="86"/>
      <c r="Q856" s="91"/>
    </row>
    <row r="857">
      <c r="B857" s="85"/>
      <c r="C857" s="85"/>
      <c r="F857" s="84"/>
      <c r="G857" s="85"/>
      <c r="H857" s="85"/>
      <c r="L857" s="86"/>
      <c r="Q857" s="91"/>
    </row>
    <row r="858">
      <c r="B858" s="85"/>
      <c r="C858" s="85"/>
      <c r="F858" s="84"/>
      <c r="G858" s="85"/>
      <c r="H858" s="85"/>
      <c r="L858" s="86"/>
      <c r="Q858" s="91"/>
    </row>
    <row r="859">
      <c r="B859" s="85"/>
      <c r="C859" s="85"/>
      <c r="F859" s="84"/>
      <c r="G859" s="85"/>
      <c r="H859" s="85"/>
      <c r="L859" s="86"/>
      <c r="Q859" s="91"/>
    </row>
    <row r="860">
      <c r="B860" s="85"/>
      <c r="C860" s="85"/>
      <c r="F860" s="84"/>
      <c r="G860" s="85"/>
      <c r="H860" s="85"/>
      <c r="L860" s="86"/>
      <c r="Q860" s="91"/>
    </row>
    <row r="861">
      <c r="B861" s="85"/>
      <c r="C861" s="85"/>
      <c r="F861" s="84"/>
      <c r="G861" s="85"/>
      <c r="H861" s="85"/>
      <c r="L861" s="86"/>
      <c r="Q861" s="91"/>
    </row>
    <row r="862">
      <c r="B862" s="85"/>
      <c r="C862" s="85"/>
      <c r="F862" s="84"/>
      <c r="G862" s="85"/>
      <c r="H862" s="85"/>
      <c r="L862" s="86"/>
      <c r="Q862" s="91"/>
    </row>
    <row r="863">
      <c r="B863" s="85"/>
      <c r="C863" s="85"/>
      <c r="F863" s="84"/>
      <c r="G863" s="85"/>
      <c r="H863" s="85"/>
      <c r="L863" s="86"/>
      <c r="Q863" s="91"/>
    </row>
    <row r="864">
      <c r="B864" s="85"/>
      <c r="C864" s="85"/>
      <c r="F864" s="84"/>
      <c r="G864" s="85"/>
      <c r="H864" s="85"/>
      <c r="L864" s="86"/>
      <c r="Q864" s="91"/>
    </row>
    <row r="865">
      <c r="B865" s="85"/>
      <c r="C865" s="85"/>
      <c r="F865" s="84"/>
      <c r="G865" s="85"/>
      <c r="H865" s="85"/>
      <c r="L865" s="86"/>
      <c r="Q865" s="91"/>
    </row>
    <row r="866">
      <c r="B866" s="85"/>
      <c r="C866" s="85"/>
      <c r="F866" s="84"/>
      <c r="G866" s="85"/>
      <c r="H866" s="85"/>
      <c r="L866" s="86"/>
      <c r="Q866" s="91"/>
    </row>
    <row r="867">
      <c r="B867" s="85"/>
      <c r="C867" s="85"/>
      <c r="F867" s="84"/>
      <c r="G867" s="85"/>
      <c r="H867" s="85"/>
      <c r="L867" s="86"/>
      <c r="Q867" s="91"/>
    </row>
    <row r="868">
      <c r="B868" s="85"/>
      <c r="C868" s="85"/>
      <c r="F868" s="84"/>
      <c r="G868" s="85"/>
      <c r="H868" s="85"/>
      <c r="L868" s="86"/>
      <c r="Q868" s="91"/>
    </row>
    <row r="869">
      <c r="B869" s="85"/>
      <c r="C869" s="85"/>
      <c r="F869" s="84"/>
      <c r="G869" s="85"/>
      <c r="H869" s="85"/>
      <c r="L869" s="86"/>
      <c r="Q869" s="91"/>
    </row>
    <row r="870">
      <c r="B870" s="85"/>
      <c r="C870" s="85"/>
      <c r="F870" s="84"/>
      <c r="G870" s="85"/>
      <c r="H870" s="85"/>
      <c r="L870" s="86"/>
      <c r="Q870" s="91"/>
    </row>
    <row r="871">
      <c r="B871" s="85"/>
      <c r="C871" s="85"/>
      <c r="F871" s="84"/>
      <c r="G871" s="85"/>
      <c r="H871" s="85"/>
      <c r="L871" s="86"/>
      <c r="Q871" s="91"/>
    </row>
    <row r="872">
      <c r="B872" s="85"/>
      <c r="C872" s="85"/>
      <c r="F872" s="84"/>
      <c r="G872" s="85"/>
      <c r="H872" s="85"/>
      <c r="L872" s="86"/>
      <c r="Q872" s="91"/>
    </row>
    <row r="873">
      <c r="B873" s="85"/>
      <c r="C873" s="85"/>
      <c r="F873" s="84"/>
      <c r="G873" s="85"/>
      <c r="H873" s="85"/>
      <c r="L873" s="86"/>
      <c r="Q873" s="91"/>
    </row>
    <row r="874">
      <c r="B874" s="85"/>
      <c r="C874" s="85"/>
      <c r="F874" s="84"/>
      <c r="G874" s="85"/>
      <c r="H874" s="85"/>
      <c r="L874" s="86"/>
      <c r="Q874" s="91"/>
    </row>
    <row r="875">
      <c r="B875" s="85"/>
      <c r="C875" s="85"/>
      <c r="F875" s="84"/>
      <c r="G875" s="85"/>
      <c r="H875" s="85"/>
      <c r="L875" s="86"/>
      <c r="Q875" s="91"/>
    </row>
    <row r="876">
      <c r="B876" s="85"/>
      <c r="C876" s="85"/>
      <c r="F876" s="84"/>
      <c r="G876" s="85"/>
      <c r="H876" s="85"/>
      <c r="L876" s="86"/>
      <c r="Q876" s="91"/>
    </row>
    <row r="877">
      <c r="B877" s="85"/>
      <c r="C877" s="85"/>
      <c r="F877" s="84"/>
      <c r="G877" s="85"/>
      <c r="H877" s="85"/>
      <c r="L877" s="86"/>
      <c r="Q877" s="91"/>
    </row>
    <row r="878">
      <c r="B878" s="85"/>
      <c r="C878" s="85"/>
      <c r="F878" s="84"/>
      <c r="G878" s="85"/>
      <c r="H878" s="85"/>
      <c r="L878" s="86"/>
      <c r="Q878" s="91"/>
    </row>
    <row r="879">
      <c r="B879" s="85"/>
      <c r="C879" s="85"/>
      <c r="F879" s="84"/>
      <c r="G879" s="85"/>
      <c r="H879" s="85"/>
      <c r="L879" s="86"/>
      <c r="Q879" s="91"/>
    </row>
    <row r="880">
      <c r="B880" s="85"/>
      <c r="C880" s="85"/>
      <c r="F880" s="84"/>
      <c r="G880" s="85"/>
      <c r="H880" s="85"/>
      <c r="L880" s="86"/>
      <c r="Q880" s="91"/>
    </row>
    <row r="881">
      <c r="B881" s="85"/>
      <c r="C881" s="85"/>
      <c r="F881" s="84"/>
      <c r="G881" s="85"/>
      <c r="H881" s="85"/>
      <c r="L881" s="86"/>
      <c r="Q881" s="91"/>
    </row>
    <row r="882">
      <c r="B882" s="85"/>
      <c r="C882" s="85"/>
      <c r="F882" s="84"/>
      <c r="G882" s="85"/>
      <c r="H882" s="85"/>
      <c r="L882" s="86"/>
      <c r="Q882" s="91"/>
    </row>
    <row r="883">
      <c r="B883" s="85"/>
      <c r="C883" s="85"/>
      <c r="F883" s="84"/>
      <c r="G883" s="85"/>
      <c r="H883" s="85"/>
      <c r="L883" s="86"/>
      <c r="Q883" s="91"/>
    </row>
    <row r="884">
      <c r="B884" s="85"/>
      <c r="C884" s="85"/>
      <c r="F884" s="84"/>
      <c r="G884" s="85"/>
      <c r="H884" s="85"/>
      <c r="L884" s="86"/>
      <c r="Q884" s="91"/>
    </row>
    <row r="885">
      <c r="B885" s="85"/>
      <c r="C885" s="85"/>
      <c r="F885" s="84"/>
      <c r="G885" s="85"/>
      <c r="H885" s="85"/>
      <c r="L885" s="86"/>
      <c r="Q885" s="91"/>
    </row>
    <row r="886">
      <c r="B886" s="85"/>
      <c r="C886" s="85"/>
      <c r="F886" s="84"/>
      <c r="G886" s="85"/>
      <c r="H886" s="85"/>
      <c r="L886" s="86"/>
      <c r="Q886" s="91"/>
    </row>
    <row r="887">
      <c r="B887" s="85"/>
      <c r="C887" s="85"/>
      <c r="F887" s="84"/>
      <c r="G887" s="85"/>
      <c r="H887" s="85"/>
      <c r="L887" s="86"/>
      <c r="Q887" s="91"/>
    </row>
    <row r="888">
      <c r="B888" s="85"/>
      <c r="C888" s="85"/>
      <c r="F888" s="84"/>
      <c r="G888" s="85"/>
      <c r="H888" s="85"/>
      <c r="L888" s="86"/>
      <c r="Q888" s="91"/>
    </row>
    <row r="889">
      <c r="B889" s="85"/>
      <c r="C889" s="85"/>
      <c r="F889" s="84"/>
      <c r="G889" s="85"/>
      <c r="H889" s="85"/>
      <c r="L889" s="86"/>
      <c r="Q889" s="91"/>
    </row>
    <row r="890">
      <c r="B890" s="85"/>
      <c r="C890" s="85"/>
      <c r="F890" s="84"/>
      <c r="G890" s="85"/>
      <c r="H890" s="85"/>
      <c r="L890" s="86"/>
      <c r="Q890" s="91"/>
    </row>
    <row r="891">
      <c r="B891" s="85"/>
      <c r="C891" s="85"/>
      <c r="F891" s="84"/>
      <c r="G891" s="85"/>
      <c r="H891" s="85"/>
      <c r="L891" s="86"/>
      <c r="Q891" s="91"/>
    </row>
    <row r="892">
      <c r="B892" s="85"/>
      <c r="C892" s="85"/>
      <c r="F892" s="84"/>
      <c r="G892" s="85"/>
      <c r="H892" s="85"/>
      <c r="L892" s="86"/>
      <c r="Q892" s="91"/>
    </row>
    <row r="893">
      <c r="B893" s="85"/>
      <c r="C893" s="85"/>
      <c r="F893" s="84"/>
      <c r="G893" s="85"/>
      <c r="H893" s="85"/>
      <c r="L893" s="86"/>
      <c r="Q893" s="91"/>
    </row>
    <row r="894">
      <c r="B894" s="85"/>
      <c r="C894" s="85"/>
      <c r="F894" s="84"/>
      <c r="G894" s="85"/>
      <c r="H894" s="85"/>
      <c r="L894" s="86"/>
      <c r="Q894" s="91"/>
    </row>
    <row r="895">
      <c r="B895" s="85"/>
      <c r="C895" s="85"/>
      <c r="F895" s="84"/>
      <c r="G895" s="85"/>
      <c r="H895" s="85"/>
      <c r="L895" s="86"/>
      <c r="Q895" s="91"/>
    </row>
    <row r="896">
      <c r="B896" s="85"/>
      <c r="C896" s="85"/>
      <c r="F896" s="84"/>
      <c r="G896" s="85"/>
      <c r="H896" s="85"/>
      <c r="L896" s="86"/>
      <c r="Q896" s="91"/>
    </row>
    <row r="897">
      <c r="B897" s="85"/>
      <c r="C897" s="85"/>
      <c r="F897" s="84"/>
      <c r="G897" s="85"/>
      <c r="H897" s="85"/>
      <c r="L897" s="86"/>
      <c r="Q897" s="91"/>
    </row>
    <row r="898">
      <c r="B898" s="85"/>
      <c r="C898" s="85"/>
      <c r="F898" s="84"/>
      <c r="G898" s="85"/>
      <c r="H898" s="85"/>
      <c r="L898" s="86"/>
      <c r="Q898" s="91"/>
    </row>
    <row r="899">
      <c r="B899" s="85"/>
      <c r="C899" s="85"/>
      <c r="F899" s="84"/>
      <c r="G899" s="85"/>
      <c r="H899" s="85"/>
      <c r="L899" s="86"/>
      <c r="Q899" s="91"/>
    </row>
    <row r="900">
      <c r="B900" s="85"/>
      <c r="C900" s="85"/>
      <c r="F900" s="84"/>
      <c r="G900" s="85"/>
      <c r="H900" s="85"/>
      <c r="L900" s="86"/>
      <c r="Q900" s="91"/>
    </row>
    <row r="901">
      <c r="B901" s="85"/>
      <c r="C901" s="85"/>
      <c r="F901" s="84"/>
      <c r="G901" s="85"/>
      <c r="H901" s="85"/>
      <c r="L901" s="86"/>
      <c r="Q901" s="91"/>
    </row>
    <row r="902">
      <c r="B902" s="85"/>
      <c r="C902" s="85"/>
      <c r="F902" s="84"/>
      <c r="G902" s="85"/>
      <c r="H902" s="85"/>
      <c r="L902" s="86"/>
      <c r="Q902" s="91"/>
    </row>
    <row r="903">
      <c r="B903" s="85"/>
      <c r="C903" s="85"/>
      <c r="F903" s="84"/>
      <c r="G903" s="85"/>
      <c r="H903" s="85"/>
      <c r="L903" s="86"/>
      <c r="Q903" s="91"/>
    </row>
    <row r="904">
      <c r="B904" s="85"/>
      <c r="C904" s="85"/>
      <c r="F904" s="84"/>
      <c r="G904" s="85"/>
      <c r="H904" s="85"/>
      <c r="L904" s="86"/>
      <c r="Q904" s="91"/>
    </row>
    <row r="905">
      <c r="B905" s="85"/>
      <c r="C905" s="85"/>
      <c r="F905" s="84"/>
      <c r="G905" s="85"/>
      <c r="H905" s="85"/>
      <c r="L905" s="86"/>
      <c r="Q905" s="91"/>
    </row>
    <row r="906">
      <c r="B906" s="85"/>
      <c r="C906" s="85"/>
      <c r="F906" s="84"/>
      <c r="G906" s="85"/>
      <c r="H906" s="85"/>
      <c r="L906" s="86"/>
      <c r="Q906" s="91"/>
    </row>
    <row r="907">
      <c r="B907" s="85"/>
      <c r="C907" s="85"/>
      <c r="F907" s="84"/>
      <c r="G907" s="85"/>
      <c r="H907" s="85"/>
      <c r="L907" s="86"/>
      <c r="Q907" s="91"/>
    </row>
    <row r="908">
      <c r="B908" s="85"/>
      <c r="C908" s="85"/>
      <c r="F908" s="84"/>
      <c r="G908" s="85"/>
      <c r="H908" s="85"/>
      <c r="L908" s="86"/>
      <c r="Q908" s="91"/>
    </row>
    <row r="909">
      <c r="B909" s="85"/>
      <c r="C909" s="85"/>
      <c r="F909" s="84"/>
      <c r="G909" s="85"/>
      <c r="H909" s="85"/>
      <c r="L909" s="86"/>
      <c r="Q909" s="91"/>
    </row>
    <row r="910">
      <c r="B910" s="85"/>
      <c r="C910" s="85"/>
      <c r="F910" s="84"/>
      <c r="G910" s="85"/>
      <c r="H910" s="85"/>
      <c r="L910" s="86"/>
      <c r="Q910" s="91"/>
    </row>
    <row r="911">
      <c r="B911" s="85"/>
      <c r="C911" s="85"/>
      <c r="F911" s="84"/>
      <c r="G911" s="85"/>
      <c r="H911" s="85"/>
      <c r="L911" s="86"/>
      <c r="Q911" s="91"/>
    </row>
    <row r="912">
      <c r="B912" s="85"/>
      <c r="C912" s="85"/>
      <c r="F912" s="84"/>
      <c r="G912" s="85"/>
      <c r="H912" s="85"/>
      <c r="L912" s="86"/>
      <c r="Q912" s="91"/>
    </row>
    <row r="913">
      <c r="B913" s="85"/>
      <c r="C913" s="85"/>
      <c r="F913" s="84"/>
      <c r="G913" s="85"/>
      <c r="H913" s="85"/>
      <c r="L913" s="86"/>
      <c r="Q913" s="91"/>
    </row>
    <row r="914">
      <c r="B914" s="85"/>
      <c r="C914" s="85"/>
      <c r="F914" s="84"/>
      <c r="G914" s="85"/>
      <c r="H914" s="85"/>
      <c r="L914" s="86"/>
      <c r="Q914" s="91"/>
    </row>
    <row r="915">
      <c r="B915" s="85"/>
      <c r="C915" s="85"/>
      <c r="F915" s="84"/>
      <c r="G915" s="85"/>
      <c r="H915" s="85"/>
      <c r="L915" s="86"/>
      <c r="Q915" s="91"/>
    </row>
    <row r="916">
      <c r="B916" s="85"/>
      <c r="C916" s="85"/>
      <c r="F916" s="84"/>
      <c r="G916" s="85"/>
      <c r="H916" s="85"/>
      <c r="L916" s="86"/>
      <c r="Q916" s="91"/>
    </row>
    <row r="917">
      <c r="B917" s="85"/>
      <c r="C917" s="85"/>
      <c r="F917" s="84"/>
      <c r="G917" s="85"/>
      <c r="H917" s="85"/>
      <c r="L917" s="86"/>
      <c r="Q917" s="91"/>
    </row>
    <row r="918">
      <c r="B918" s="85"/>
      <c r="C918" s="85"/>
      <c r="F918" s="84"/>
      <c r="G918" s="85"/>
      <c r="H918" s="85"/>
      <c r="L918" s="86"/>
      <c r="Q918" s="91"/>
    </row>
    <row r="919">
      <c r="B919" s="85"/>
      <c r="C919" s="85"/>
      <c r="F919" s="84"/>
      <c r="G919" s="85"/>
      <c r="H919" s="85"/>
      <c r="L919" s="86"/>
      <c r="Q919" s="91"/>
    </row>
    <row r="920">
      <c r="B920" s="85"/>
      <c r="C920" s="85"/>
      <c r="F920" s="84"/>
      <c r="G920" s="85"/>
      <c r="H920" s="85"/>
      <c r="L920" s="86"/>
      <c r="Q920" s="91"/>
    </row>
    <row r="921">
      <c r="B921" s="85"/>
      <c r="C921" s="85"/>
      <c r="F921" s="84"/>
      <c r="G921" s="85"/>
      <c r="H921" s="85"/>
      <c r="L921" s="86"/>
      <c r="Q921" s="91"/>
    </row>
    <row r="922">
      <c r="B922" s="85"/>
      <c r="C922" s="85"/>
      <c r="F922" s="84"/>
      <c r="G922" s="85"/>
      <c r="H922" s="85"/>
      <c r="L922" s="86"/>
      <c r="Q922" s="91"/>
    </row>
    <row r="923">
      <c r="B923" s="85"/>
      <c r="C923" s="85"/>
      <c r="F923" s="84"/>
      <c r="G923" s="85"/>
      <c r="H923" s="85"/>
      <c r="L923" s="86"/>
      <c r="Q923" s="91"/>
    </row>
    <row r="924">
      <c r="B924" s="85"/>
      <c r="C924" s="85"/>
      <c r="F924" s="84"/>
      <c r="G924" s="85"/>
      <c r="H924" s="85"/>
      <c r="L924" s="86"/>
      <c r="Q924" s="91"/>
    </row>
    <row r="925">
      <c r="B925" s="85"/>
      <c r="C925" s="85"/>
      <c r="F925" s="84"/>
      <c r="G925" s="85"/>
      <c r="H925" s="85"/>
      <c r="L925" s="86"/>
      <c r="Q925" s="91"/>
    </row>
    <row r="926">
      <c r="B926" s="85"/>
      <c r="C926" s="85"/>
      <c r="F926" s="84"/>
      <c r="G926" s="85"/>
      <c r="H926" s="85"/>
      <c r="L926" s="86"/>
      <c r="Q926" s="91"/>
    </row>
    <row r="927">
      <c r="B927" s="85"/>
      <c r="C927" s="85"/>
      <c r="F927" s="84"/>
      <c r="G927" s="85"/>
      <c r="H927" s="85"/>
      <c r="L927" s="86"/>
      <c r="Q927" s="91"/>
    </row>
    <row r="928">
      <c r="B928" s="85"/>
      <c r="C928" s="85"/>
      <c r="F928" s="84"/>
      <c r="G928" s="85"/>
      <c r="H928" s="85"/>
      <c r="L928" s="86"/>
      <c r="Q928" s="91"/>
    </row>
    <row r="929">
      <c r="B929" s="85"/>
      <c r="C929" s="85"/>
      <c r="F929" s="84"/>
      <c r="G929" s="85"/>
      <c r="H929" s="85"/>
      <c r="L929" s="86"/>
      <c r="Q929" s="91"/>
    </row>
    <row r="930">
      <c r="B930" s="85"/>
      <c r="C930" s="85"/>
      <c r="F930" s="84"/>
      <c r="G930" s="85"/>
      <c r="H930" s="85"/>
      <c r="L930" s="86"/>
      <c r="Q930" s="91"/>
    </row>
    <row r="931">
      <c r="B931" s="85"/>
      <c r="C931" s="85"/>
      <c r="F931" s="84"/>
      <c r="G931" s="85"/>
      <c r="H931" s="85"/>
      <c r="L931" s="86"/>
      <c r="Q931" s="91"/>
    </row>
    <row r="932">
      <c r="B932" s="85"/>
      <c r="C932" s="85"/>
      <c r="F932" s="84"/>
      <c r="G932" s="85"/>
      <c r="H932" s="85"/>
      <c r="L932" s="86"/>
      <c r="Q932" s="91"/>
    </row>
    <row r="933">
      <c r="B933" s="85"/>
      <c r="C933" s="85"/>
      <c r="F933" s="84"/>
      <c r="G933" s="85"/>
      <c r="H933" s="85"/>
      <c r="L933" s="86"/>
      <c r="Q933" s="91"/>
    </row>
    <row r="934">
      <c r="B934" s="85"/>
      <c r="C934" s="85"/>
      <c r="F934" s="84"/>
      <c r="G934" s="85"/>
      <c r="H934" s="85"/>
      <c r="L934" s="86"/>
      <c r="Q934" s="91"/>
    </row>
    <row r="935">
      <c r="B935" s="85"/>
      <c r="C935" s="85"/>
      <c r="F935" s="84"/>
      <c r="G935" s="85"/>
      <c r="H935" s="85"/>
      <c r="L935" s="86"/>
      <c r="Q935" s="91"/>
    </row>
    <row r="936">
      <c r="B936" s="85"/>
      <c r="C936" s="85"/>
      <c r="F936" s="84"/>
      <c r="G936" s="85"/>
      <c r="H936" s="85"/>
      <c r="L936" s="86"/>
      <c r="Q936" s="91"/>
    </row>
    <row r="937">
      <c r="B937" s="85"/>
      <c r="C937" s="85"/>
      <c r="F937" s="84"/>
      <c r="G937" s="85"/>
      <c r="H937" s="85"/>
      <c r="L937" s="86"/>
      <c r="Q937" s="91"/>
    </row>
    <row r="938">
      <c r="B938" s="85"/>
      <c r="C938" s="85"/>
      <c r="F938" s="84"/>
      <c r="G938" s="85"/>
      <c r="H938" s="85"/>
      <c r="L938" s="86"/>
      <c r="Q938" s="91"/>
    </row>
    <row r="939">
      <c r="B939" s="85"/>
      <c r="C939" s="85"/>
      <c r="F939" s="84"/>
      <c r="G939" s="85"/>
      <c r="H939" s="85"/>
      <c r="L939" s="86"/>
      <c r="Q939" s="91"/>
    </row>
    <row r="940">
      <c r="B940" s="85"/>
      <c r="C940" s="85"/>
      <c r="F940" s="84"/>
      <c r="G940" s="85"/>
      <c r="H940" s="85"/>
      <c r="L940" s="86"/>
      <c r="Q940" s="91"/>
    </row>
    <row r="941">
      <c r="B941" s="85"/>
      <c r="C941" s="85"/>
      <c r="F941" s="84"/>
      <c r="G941" s="85"/>
      <c r="H941" s="85"/>
      <c r="L941" s="86"/>
      <c r="Q941" s="91"/>
    </row>
    <row r="942">
      <c r="B942" s="85"/>
      <c r="C942" s="85"/>
      <c r="F942" s="84"/>
      <c r="G942" s="85"/>
      <c r="H942" s="85"/>
      <c r="L942" s="86"/>
      <c r="Q942" s="91"/>
    </row>
    <row r="943">
      <c r="B943" s="85"/>
      <c r="C943" s="85"/>
      <c r="F943" s="84"/>
      <c r="G943" s="85"/>
      <c r="H943" s="85"/>
      <c r="L943" s="86"/>
      <c r="Q943" s="91"/>
    </row>
    <row r="944">
      <c r="B944" s="85"/>
      <c r="C944" s="85"/>
      <c r="F944" s="84"/>
      <c r="G944" s="85"/>
      <c r="H944" s="85"/>
      <c r="L944" s="86"/>
      <c r="Q944" s="91"/>
    </row>
    <row r="945">
      <c r="B945" s="85"/>
      <c r="C945" s="85"/>
      <c r="F945" s="84"/>
      <c r="G945" s="85"/>
      <c r="H945" s="85"/>
      <c r="L945" s="86"/>
      <c r="Q945" s="91"/>
    </row>
    <row r="946">
      <c r="B946" s="85"/>
      <c r="C946" s="85"/>
      <c r="F946" s="84"/>
      <c r="G946" s="85"/>
      <c r="H946" s="85"/>
      <c r="L946" s="86"/>
      <c r="Q946" s="91"/>
    </row>
    <row r="947">
      <c r="B947" s="85"/>
      <c r="C947" s="85"/>
      <c r="F947" s="84"/>
      <c r="G947" s="85"/>
      <c r="H947" s="85"/>
      <c r="L947" s="86"/>
      <c r="Q947" s="91"/>
    </row>
    <row r="948">
      <c r="B948" s="85"/>
      <c r="C948" s="85"/>
      <c r="F948" s="84"/>
      <c r="G948" s="85"/>
      <c r="H948" s="85"/>
      <c r="L948" s="86"/>
      <c r="Q948" s="91"/>
    </row>
    <row r="949">
      <c r="B949" s="85"/>
      <c r="C949" s="85"/>
      <c r="F949" s="84"/>
      <c r="G949" s="85"/>
      <c r="H949" s="85"/>
      <c r="L949" s="86"/>
      <c r="Q949" s="91"/>
    </row>
    <row r="950">
      <c r="B950" s="85"/>
      <c r="C950" s="85"/>
      <c r="F950" s="84"/>
      <c r="G950" s="85"/>
      <c r="H950" s="85"/>
      <c r="L950" s="86"/>
      <c r="Q950" s="91"/>
    </row>
    <row r="951">
      <c r="B951" s="85"/>
      <c r="C951" s="85"/>
      <c r="F951" s="84"/>
      <c r="G951" s="85"/>
      <c r="H951" s="85"/>
      <c r="L951" s="86"/>
      <c r="Q951" s="91"/>
    </row>
    <row r="952">
      <c r="B952" s="85"/>
      <c r="C952" s="85"/>
      <c r="F952" s="84"/>
      <c r="G952" s="85"/>
      <c r="H952" s="85"/>
      <c r="L952" s="86"/>
      <c r="Q952" s="91"/>
    </row>
    <row r="953">
      <c r="B953" s="85"/>
      <c r="C953" s="85"/>
      <c r="F953" s="84"/>
      <c r="G953" s="85"/>
      <c r="H953" s="85"/>
      <c r="L953" s="86"/>
      <c r="Q953" s="91"/>
    </row>
    <row r="954">
      <c r="B954" s="85"/>
      <c r="C954" s="85"/>
      <c r="F954" s="84"/>
      <c r="G954" s="85"/>
      <c r="H954" s="85"/>
      <c r="L954" s="86"/>
      <c r="Q954" s="91"/>
    </row>
    <row r="955">
      <c r="B955" s="85"/>
      <c r="C955" s="85"/>
      <c r="F955" s="84"/>
      <c r="G955" s="85"/>
      <c r="H955" s="85"/>
      <c r="L955" s="86"/>
      <c r="Q955" s="91"/>
    </row>
    <row r="956">
      <c r="B956" s="85"/>
      <c r="C956" s="85"/>
      <c r="F956" s="84"/>
      <c r="G956" s="85"/>
      <c r="H956" s="85"/>
      <c r="L956" s="86"/>
      <c r="Q956" s="91"/>
    </row>
    <row r="957">
      <c r="B957" s="85"/>
      <c r="C957" s="85"/>
      <c r="F957" s="84"/>
      <c r="G957" s="85"/>
      <c r="H957" s="85"/>
      <c r="L957" s="86"/>
      <c r="Q957" s="91"/>
    </row>
    <row r="958">
      <c r="B958" s="85"/>
      <c r="C958" s="85"/>
      <c r="F958" s="84"/>
      <c r="G958" s="85"/>
      <c r="H958" s="85"/>
      <c r="L958" s="86"/>
      <c r="Q958" s="91"/>
    </row>
    <row r="959">
      <c r="B959" s="85"/>
      <c r="C959" s="85"/>
      <c r="F959" s="84"/>
      <c r="G959" s="85"/>
      <c r="H959" s="85"/>
      <c r="L959" s="86"/>
      <c r="Q959" s="91"/>
    </row>
    <row r="960">
      <c r="B960" s="85"/>
      <c r="C960" s="85"/>
      <c r="F960" s="84"/>
      <c r="G960" s="85"/>
      <c r="H960" s="85"/>
      <c r="L960" s="86"/>
      <c r="Q960" s="91"/>
    </row>
    <row r="961">
      <c r="B961" s="85"/>
      <c r="C961" s="85"/>
      <c r="F961" s="84"/>
      <c r="G961" s="85"/>
      <c r="H961" s="85"/>
      <c r="L961" s="86"/>
      <c r="Q961" s="91"/>
    </row>
    <row r="962">
      <c r="B962" s="85"/>
      <c r="C962" s="85"/>
      <c r="F962" s="84"/>
      <c r="G962" s="85"/>
      <c r="H962" s="85"/>
      <c r="L962" s="86"/>
      <c r="Q962" s="91"/>
    </row>
    <row r="963">
      <c r="B963" s="85"/>
      <c r="C963" s="85"/>
      <c r="F963" s="84"/>
      <c r="G963" s="85"/>
      <c r="H963" s="85"/>
      <c r="L963" s="86"/>
      <c r="Q963" s="91"/>
    </row>
    <row r="964">
      <c r="B964" s="85"/>
      <c r="C964" s="85"/>
      <c r="F964" s="84"/>
      <c r="G964" s="85"/>
      <c r="H964" s="85"/>
      <c r="L964" s="86"/>
      <c r="Q964" s="91"/>
    </row>
    <row r="965">
      <c r="B965" s="85"/>
      <c r="C965" s="85"/>
      <c r="F965" s="84"/>
      <c r="G965" s="85"/>
      <c r="H965" s="85"/>
      <c r="L965" s="86"/>
      <c r="Q965" s="91"/>
    </row>
    <row r="966">
      <c r="B966" s="85"/>
      <c r="C966" s="85"/>
      <c r="F966" s="84"/>
      <c r="G966" s="85"/>
      <c r="H966" s="85"/>
      <c r="L966" s="86"/>
      <c r="Q966" s="91"/>
    </row>
    <row r="967">
      <c r="B967" s="85"/>
      <c r="C967" s="85"/>
      <c r="F967" s="84"/>
      <c r="G967" s="85"/>
      <c r="H967" s="85"/>
      <c r="L967" s="86"/>
      <c r="Q967" s="91"/>
    </row>
    <row r="968">
      <c r="B968" s="85"/>
      <c r="C968" s="85"/>
      <c r="F968" s="84"/>
      <c r="G968" s="85"/>
      <c r="H968" s="85"/>
      <c r="L968" s="86"/>
      <c r="Q968" s="91"/>
    </row>
    <row r="969">
      <c r="B969" s="85"/>
      <c r="C969" s="85"/>
      <c r="F969" s="84"/>
      <c r="G969" s="85"/>
      <c r="H969" s="85"/>
      <c r="L969" s="86"/>
      <c r="Q969" s="91"/>
    </row>
    <row r="970">
      <c r="B970" s="85"/>
      <c r="C970" s="85"/>
      <c r="F970" s="84"/>
      <c r="G970" s="85"/>
      <c r="H970" s="85"/>
      <c r="L970" s="86"/>
      <c r="Q970" s="91"/>
    </row>
    <row r="971">
      <c r="B971" s="85"/>
      <c r="C971" s="85"/>
      <c r="F971" s="84"/>
      <c r="G971" s="85"/>
      <c r="H971" s="85"/>
      <c r="L971" s="86"/>
      <c r="Q971" s="91"/>
    </row>
    <row r="972">
      <c r="B972" s="85"/>
      <c r="C972" s="85"/>
      <c r="F972" s="84"/>
      <c r="G972" s="85"/>
      <c r="H972" s="85"/>
      <c r="L972" s="86"/>
      <c r="Q972" s="91"/>
    </row>
    <row r="973">
      <c r="B973" s="85"/>
      <c r="C973" s="85"/>
      <c r="F973" s="84"/>
      <c r="G973" s="85"/>
      <c r="H973" s="85"/>
      <c r="L973" s="86"/>
      <c r="Q973" s="91"/>
    </row>
    <row r="974">
      <c r="B974" s="85"/>
      <c r="C974" s="85"/>
      <c r="F974" s="84"/>
      <c r="G974" s="85"/>
      <c r="H974" s="85"/>
      <c r="L974" s="86"/>
      <c r="Q974" s="91"/>
    </row>
    <row r="975">
      <c r="B975" s="85"/>
      <c r="C975" s="85"/>
      <c r="F975" s="84"/>
      <c r="G975" s="85"/>
      <c r="H975" s="85"/>
      <c r="L975" s="86"/>
      <c r="Q975" s="91"/>
    </row>
    <row r="976">
      <c r="B976" s="85"/>
      <c r="C976" s="85"/>
      <c r="F976" s="84"/>
      <c r="G976" s="85"/>
      <c r="H976" s="85"/>
      <c r="L976" s="86"/>
      <c r="Q976" s="91"/>
    </row>
    <row r="977">
      <c r="B977" s="85"/>
      <c r="C977" s="85"/>
      <c r="F977" s="84"/>
      <c r="G977" s="85"/>
      <c r="H977" s="85"/>
      <c r="L977" s="86"/>
      <c r="Q977" s="91"/>
    </row>
    <row r="978">
      <c r="B978" s="85"/>
      <c r="C978" s="85"/>
      <c r="F978" s="84"/>
      <c r="G978" s="85"/>
      <c r="H978" s="85"/>
      <c r="L978" s="86"/>
      <c r="Q978" s="91"/>
    </row>
    <row r="979">
      <c r="B979" s="85"/>
      <c r="C979" s="85"/>
      <c r="F979" s="84"/>
      <c r="G979" s="85"/>
      <c r="H979" s="85"/>
      <c r="L979" s="86"/>
      <c r="Q979" s="91"/>
    </row>
    <row r="980">
      <c r="B980" s="85"/>
      <c r="C980" s="85"/>
      <c r="F980" s="84"/>
      <c r="G980" s="85"/>
      <c r="H980" s="85"/>
      <c r="L980" s="86"/>
      <c r="Q980" s="91"/>
    </row>
    <row r="981">
      <c r="B981" s="85"/>
      <c r="C981" s="85"/>
      <c r="F981" s="84"/>
      <c r="G981" s="85"/>
      <c r="H981" s="85"/>
      <c r="L981" s="86"/>
      <c r="Q981" s="91"/>
    </row>
    <row r="982">
      <c r="B982" s="85"/>
      <c r="C982" s="85"/>
      <c r="F982" s="84"/>
      <c r="G982" s="85"/>
      <c r="H982" s="85"/>
      <c r="L982" s="86"/>
      <c r="Q982" s="91"/>
    </row>
    <row r="983">
      <c r="B983" s="85"/>
      <c r="C983" s="85"/>
      <c r="F983" s="84"/>
      <c r="G983" s="85"/>
      <c r="H983" s="85"/>
      <c r="L983" s="86"/>
      <c r="Q983" s="91"/>
    </row>
    <row r="984">
      <c r="B984" s="85"/>
      <c r="C984" s="85"/>
      <c r="F984" s="84"/>
      <c r="G984" s="85"/>
      <c r="H984" s="85"/>
      <c r="L984" s="86"/>
      <c r="Q984" s="91"/>
    </row>
    <row r="985">
      <c r="B985" s="85"/>
      <c r="C985" s="85"/>
      <c r="F985" s="84"/>
      <c r="G985" s="85"/>
      <c r="H985" s="85"/>
      <c r="L985" s="86"/>
      <c r="Q985" s="91"/>
    </row>
    <row r="986">
      <c r="B986" s="85"/>
      <c r="C986" s="85"/>
      <c r="F986" s="84"/>
      <c r="G986" s="85"/>
      <c r="H986" s="85"/>
      <c r="L986" s="86"/>
      <c r="Q986" s="91"/>
    </row>
    <row r="987">
      <c r="B987" s="85"/>
      <c r="C987" s="85"/>
      <c r="F987" s="84"/>
      <c r="G987" s="85"/>
      <c r="H987" s="85"/>
      <c r="L987" s="86"/>
      <c r="Q987" s="91"/>
    </row>
    <row r="988">
      <c r="B988" s="85"/>
      <c r="C988" s="85"/>
      <c r="F988" s="84"/>
      <c r="G988" s="85"/>
      <c r="H988" s="85"/>
      <c r="L988" s="86"/>
      <c r="Q988" s="91"/>
    </row>
    <row r="989">
      <c r="B989" s="85"/>
      <c r="C989" s="85"/>
      <c r="F989" s="84"/>
      <c r="G989" s="85"/>
      <c r="H989" s="85"/>
      <c r="L989" s="86"/>
      <c r="Q989" s="91"/>
    </row>
    <row r="990">
      <c r="B990" s="85"/>
      <c r="C990" s="85"/>
      <c r="F990" s="84"/>
      <c r="G990" s="85"/>
      <c r="H990" s="85"/>
      <c r="L990" s="86"/>
      <c r="Q990" s="91"/>
    </row>
    <row r="991">
      <c r="B991" s="85"/>
      <c r="C991" s="85"/>
      <c r="F991" s="84"/>
      <c r="G991" s="85"/>
      <c r="H991" s="85"/>
      <c r="L991" s="86"/>
      <c r="Q991" s="91"/>
    </row>
    <row r="992">
      <c r="B992" s="85"/>
      <c r="C992" s="85"/>
      <c r="F992" s="84"/>
      <c r="G992" s="85"/>
      <c r="H992" s="85"/>
      <c r="L992" s="86"/>
      <c r="Q992" s="91"/>
    </row>
    <row r="993">
      <c r="B993" s="85"/>
      <c r="C993" s="85"/>
      <c r="F993" s="84"/>
      <c r="G993" s="85"/>
      <c r="H993" s="85"/>
      <c r="L993" s="86"/>
      <c r="Q993" s="91"/>
    </row>
    <row r="994">
      <c r="B994" s="85"/>
      <c r="C994" s="85"/>
      <c r="F994" s="84"/>
      <c r="G994" s="85"/>
      <c r="H994" s="85"/>
      <c r="L994" s="86"/>
      <c r="Q994" s="91"/>
    </row>
    <row r="995">
      <c r="B995" s="85"/>
      <c r="C995" s="85"/>
      <c r="F995" s="84"/>
      <c r="G995" s="85"/>
      <c r="H995" s="85"/>
      <c r="L995" s="86"/>
      <c r="Q995" s="91"/>
    </row>
    <row r="996">
      <c r="B996" s="85"/>
      <c r="C996" s="85"/>
      <c r="F996" s="84"/>
      <c r="G996" s="85"/>
      <c r="H996" s="85"/>
      <c r="L996" s="86"/>
      <c r="Q996" s="91"/>
    </row>
    <row r="997">
      <c r="B997" s="85"/>
      <c r="C997" s="85"/>
      <c r="F997" s="84"/>
      <c r="G997" s="85"/>
      <c r="H997" s="85"/>
      <c r="L997" s="86"/>
      <c r="Q997" s="91"/>
    </row>
    <row r="998">
      <c r="B998" s="85"/>
      <c r="C998" s="85"/>
      <c r="F998" s="84"/>
      <c r="G998" s="85"/>
      <c r="H998" s="85"/>
      <c r="L998" s="86"/>
      <c r="Q998" s="91"/>
    </row>
    <row r="999">
      <c r="B999" s="85"/>
      <c r="C999" s="85"/>
      <c r="F999" s="84"/>
      <c r="G999" s="85"/>
      <c r="H999" s="85"/>
      <c r="L999" s="86"/>
      <c r="Q999" s="91"/>
    </row>
    <row r="1000">
      <c r="B1000" s="85"/>
      <c r="C1000" s="85"/>
      <c r="F1000" s="84"/>
      <c r="G1000" s="85"/>
      <c r="H1000" s="85"/>
      <c r="L1000" s="86"/>
      <c r="Q1000" s="91"/>
    </row>
  </sheetData>
  <drawing r:id="rId1"/>
</worksheet>
</file>